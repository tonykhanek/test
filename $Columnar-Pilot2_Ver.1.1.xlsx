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pp/Downloads/"/>
    </mc:Choice>
  </mc:AlternateContent>
  <xr:revisionPtr revIDLastSave="0" documentId="13_ncr:1_{5CCCCCAD-42C4-6F48-9B22-725DEBDB5E7C}" xr6:coauthVersionLast="47" xr6:coauthVersionMax="47" xr10:uidLastSave="{00000000-0000-0000-0000-000000000000}"/>
  <bookViews>
    <workbookView xWindow="0" yWindow="680" windowWidth="25600" windowHeight="14580" activeTab="2" xr2:uid="{00000000-000D-0000-FFFF-FFFF00000000}"/>
  </bookViews>
  <sheets>
    <sheet name="PopG_Dec_2010vs.2020" sheetId="7" r:id="rId1"/>
    <sheet name="2010" sheetId="1" r:id="rId2"/>
    <sheet name="Fpop_Dec_2010vs2020" sheetId="8" r:id="rId3"/>
    <sheet name="2020" sheetId="2" r:id="rId4"/>
    <sheet name="Sheet2" sheetId="3" r:id="rId5"/>
    <sheet name="2017" sheetId="4" r:id="rId6"/>
    <sheet name="Sheet3" sheetId="5" r:id="rId7"/>
    <sheet name="2022" sheetId="6" r:id="rId8"/>
  </sheets>
  <definedNames>
    <definedName name="_xlchart.v5.0" hidden="1">PopG_Dec_2010vs.2020!$B$2:$C$2</definedName>
    <definedName name="_xlchart.v5.1" hidden="1">PopG_Dec_2010vs.2020!$B$3:$C$19</definedName>
    <definedName name="_xlchart.v5.10" hidden="1">Fpop_Dec_2010vs2020!$G$1</definedName>
    <definedName name="_xlchart.v5.11" hidden="1">Fpop_Dec_2010vs2020!$G$2</definedName>
    <definedName name="_xlchart.v5.12" hidden="1">Fpop_Dec_2010vs2020!$G$3:$G$19</definedName>
    <definedName name="_xlchart.v5.13" hidden="1">Fpop_Dec_2010vs2020!$I$1</definedName>
    <definedName name="_xlchart.v5.14" hidden="1">Fpop_Dec_2010vs2020!$I$2</definedName>
    <definedName name="_xlchart.v5.15" hidden="1">Fpop_Dec_2010vs2020!$I$3:$I$19</definedName>
    <definedName name="_xlchart.v5.16" hidden="1">Fpop_Dec_2010vs2020!$B$2:$C$2</definedName>
    <definedName name="_xlchart.v5.17" hidden="1">Fpop_Dec_2010vs2020!$B$3:$C$19</definedName>
    <definedName name="_xlchart.v5.18" hidden="1">Fpop_Dec_2010vs2020!$G$1</definedName>
    <definedName name="_xlchart.v5.19" hidden="1">Fpop_Dec_2010vs2020!$G$2</definedName>
    <definedName name="_xlchart.v5.2" hidden="1">PopG_Dec_2010vs.2020!$F$2</definedName>
    <definedName name="_xlchart.v5.20" hidden="1">Fpop_Dec_2010vs2020!$G$3:$G$19</definedName>
    <definedName name="_xlchart.v5.21" hidden="1">Fpop_Dec_2010vs2020!$I$1</definedName>
    <definedName name="_xlchart.v5.22" hidden="1">Fpop_Dec_2010vs2020!$I$2</definedName>
    <definedName name="_xlchart.v5.23" hidden="1">Fpop_Dec_2010vs2020!$I$3:$I$19</definedName>
    <definedName name="_xlchart.v5.3" hidden="1">PopG_Dec_2010vs.2020!$F$3:$F$19</definedName>
    <definedName name="_xlchart.v5.4" hidden="1">PopG_Dec_2010vs.2020!$B$2:$C$2</definedName>
    <definedName name="_xlchart.v5.5" hidden="1">PopG_Dec_2010vs.2020!$B$3:$C$19</definedName>
    <definedName name="_xlchart.v5.6" hidden="1">PopG_Dec_2010vs.2020!$F$2</definedName>
    <definedName name="_xlchart.v5.7" hidden="1">PopG_Dec_2010vs.2020!$F$3:$F$19</definedName>
    <definedName name="_xlchart.v5.8" hidden="1">Fpop_Dec_2010vs2020!$B$2:$C$2</definedName>
    <definedName name="_xlchart.v5.9" hidden="1">Fpop_Dec_2010vs2020!$B$3:$C$19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8" l="1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3" i="8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B49FBAEB-1EF2-DB4C-B6DC-347A927879DA}">
      <text>
        <r>
          <rPr>
            <sz val="10"/>
            <color rgb="FF000000"/>
            <rFont val="Arial"/>
            <scheme val="minor"/>
          </rPr>
          <t>Total Population</t>
        </r>
      </text>
    </comment>
    <comment ref="E2" authorId="0" shapeId="0" xr:uid="{5F5DB149-7899-1649-ABEF-EE728182BA02}">
      <text>
        <r>
          <rPr>
            <sz val="10"/>
            <color rgb="FF000000"/>
            <rFont val="Arial"/>
            <family val="2"/>
          </rPr>
          <t>Total Population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000-000001000000}">
      <text>
        <r>
          <rPr>
            <sz val="10"/>
            <color rgb="FF000000"/>
            <rFont val="Arial"/>
            <scheme val="minor"/>
          </rPr>
          <t>Total Population</t>
        </r>
      </text>
    </comment>
    <comment ref="D2" authorId="0" shapeId="0" xr:uid="{00000000-0006-0000-0000-000002000000}">
      <text>
        <r>
          <rPr>
            <sz val="10"/>
            <color rgb="FF000000"/>
            <rFont val="Arial"/>
            <scheme val="minor"/>
          </rPr>
          <t>Median Age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ED04F5EB-EA69-CF4E-99D7-69CE0C82BCE8}">
      <text>
        <r>
          <rPr>
            <sz val="10"/>
            <color rgb="FF000000"/>
            <rFont val="Arial"/>
            <scheme val="minor"/>
          </rPr>
          <t>Total Population</t>
        </r>
      </text>
    </comment>
    <comment ref="E2" authorId="0" shapeId="0" xr:uid="{1BFC4FFB-185F-3B4F-BA9B-270E41112289}">
      <text>
        <r>
          <rPr>
            <sz val="10"/>
            <color rgb="FF000000"/>
            <rFont val="Arial"/>
            <family val="2"/>
          </rPr>
          <t>Median Age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0"/>
            <color rgb="FF000000"/>
            <rFont val="Arial"/>
            <family val="2"/>
          </rPr>
          <t>Total Population</t>
        </r>
      </text>
    </comment>
    <comment ref="D2" authorId="0" shapeId="0" xr:uid="{00000000-0006-0000-0100-000002000000}">
      <text>
        <r>
          <rPr>
            <sz val="10"/>
            <color rgb="FF000000"/>
            <rFont val="Arial"/>
            <scheme val="minor"/>
          </rPr>
          <t>Median Age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200-000001000000}">
      <text>
        <r>
          <rPr>
            <sz val="10"/>
            <color rgb="FF000000"/>
            <rFont val="Arial"/>
            <scheme val="minor"/>
          </rPr>
          <t>Total Population</t>
        </r>
      </text>
    </comment>
    <comment ref="D2" authorId="0" shapeId="0" xr:uid="{00000000-0006-0000-0200-000002000000}">
      <text>
        <r>
          <rPr>
            <sz val="10"/>
            <color rgb="FF000000"/>
            <rFont val="Arial"/>
            <scheme val="minor"/>
          </rPr>
          <t>Median Age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300-000001000000}">
      <text>
        <r>
          <rPr>
            <sz val="10"/>
            <color rgb="FF000000"/>
            <rFont val="Arial"/>
            <scheme val="minor"/>
          </rPr>
          <t>Total Population</t>
        </r>
      </text>
    </comment>
    <comment ref="D2" authorId="0" shapeId="0" xr:uid="{00000000-0006-0000-0300-000002000000}">
      <text>
        <r>
          <rPr>
            <sz val="10"/>
            <color rgb="FF000000"/>
            <rFont val="Arial"/>
            <scheme val="minor"/>
          </rPr>
          <t>Median Age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400-000001000000}">
      <text>
        <r>
          <rPr>
            <sz val="10"/>
            <color rgb="FF000000"/>
            <rFont val="Arial"/>
            <scheme val="minor"/>
          </rPr>
          <t>Total Population</t>
        </r>
      </text>
    </comment>
    <comment ref="D2" authorId="0" shapeId="0" xr:uid="{00000000-0006-0000-0400-000002000000}">
      <text>
        <r>
          <rPr>
            <sz val="10"/>
            <color rgb="FF000000"/>
            <rFont val="Arial"/>
            <scheme val="minor"/>
          </rPr>
          <t>Median Age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500-000001000000}">
      <text>
        <r>
          <rPr>
            <sz val="10"/>
            <color rgb="FF000000"/>
            <rFont val="Arial"/>
            <scheme val="minor"/>
          </rPr>
          <t>Total Population</t>
        </r>
      </text>
    </comment>
    <comment ref="D2" authorId="0" shapeId="0" xr:uid="{00000000-0006-0000-0500-000002000000}">
      <text>
        <r>
          <rPr>
            <sz val="10"/>
            <color rgb="FF000000"/>
            <rFont val="Arial"/>
            <scheme val="minor"/>
          </rPr>
          <t>Median Age</t>
        </r>
      </text>
    </comment>
  </commentList>
</comments>
</file>

<file path=xl/sharedStrings.xml><?xml version="1.0" encoding="utf-8"?>
<sst xmlns="http://schemas.openxmlformats.org/spreadsheetml/2006/main" count="286" uniqueCount="86">
  <si>
    <t>NV Countys</t>
  </si>
  <si>
    <t>Summary Level \ Data Items</t>
  </si>
  <si>
    <t>Pop</t>
  </si>
  <si>
    <t>MedAge</t>
  </si>
  <si>
    <t>GeoID</t>
  </si>
  <si>
    <t>GeoName</t>
  </si>
  <si>
    <t>P001001</t>
  </si>
  <si>
    <t>P013001</t>
  </si>
  <si>
    <t>P012002</t>
  </si>
  <si>
    <t>P012026</t>
  </si>
  <si>
    <t>P003005</t>
  </si>
  <si>
    <t>P003003</t>
  </si>
  <si>
    <t>P004001</t>
  </si>
  <si>
    <t>P003004</t>
  </si>
  <si>
    <t>P003007</t>
  </si>
  <si>
    <t>P003002</t>
  </si>
  <si>
    <t>P003008</t>
  </si>
  <si>
    <t>https://api.census.gov/data/2010/dec/sf1?get=NAME,P001001,P013001,P012002,P012026,P003005,P003003,P004001,P003004,P003007,P003002,P003008&amp;for=county:*&amp;in=state:32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</si>
  <si>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</si>
  <si>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</si>
  <si>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</si>
  <si>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</si>
  <si>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</si>
  <si>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</si>
  <si>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</si>
  <si>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</si>
  <si>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</si>
  <si>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</si>
  <si>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</si>
  <si>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</si>
  <si>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</si>
  <si>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</si>
  <si>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</si>
  <si>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</si>
  <si>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Carson City, Nevada</t>
  </si>
  <si>
    <t>DP1_0001C</t>
  </si>
  <si>
    <t>DP1_0073C</t>
  </si>
  <si>
    <t>DP1_0025C</t>
  </si>
  <si>
    <t>DP1_0049C</t>
  </si>
  <si>
    <t>DP1_0081C</t>
  </si>
  <si>
    <t>DP1_0079C</t>
  </si>
  <si>
    <t>DP1_0092C</t>
  </si>
  <si>
    <t>DP1_0080C</t>
  </si>
  <si>
    <t>DP1_0083C</t>
  </si>
  <si>
    <t>DP1_0078C</t>
  </si>
  <si>
    <t>DP1_0084C</t>
  </si>
  <si>
    <t>https://api.census.gov/data/2020/dec/dp?get=NAME,DP1_0001C,DP1_0073C,DP1_0025C,DP1_0049C,DP1_0081C,DP1_0079C,DP1_0092C,DP1_0080C,DP1_0083C,DP1_0078C,DP1_0084C&amp;for=county:*&amp;in=state:32</t>
  </si>
  <si>
    <t>B01001_001E</t>
  </si>
  <si>
    <t>B01002_001E</t>
  </si>
  <si>
    <t>B01001_002E</t>
  </si>
  <si>
    <t>B01001_026E</t>
  </si>
  <si>
    <t>B02001_005E</t>
  </si>
  <si>
    <t>B02001_003E</t>
  </si>
  <si>
    <t>B03003_001E</t>
  </si>
  <si>
    <t>B02001_004E</t>
  </si>
  <si>
    <t>B02001_007E</t>
  </si>
  <si>
    <t>B02001_002E</t>
  </si>
  <si>
    <t>B02001_008E</t>
  </si>
  <si>
    <t>https://api.census.gov/data/2017/acs/acs5?get=NAME,B01001_001E,B01002_001E,B01001_002E,B01001_026E,B02001_005E,B02001_003E,B03003_001E,B02001_004E,B02001_007E,B02001_002E,B02001_008E&amp;for=county:*&amp;in=state:32</t>
  </si>
  <si>
    <t>https://api.census.gov/data/2017/acs/acs1?get=NAME,B01001_001E,B01002_001E,B01001_002E,B01001_026E,B02001_005E,B02001_003E,B03003_001E,B02001_004E,B02001_007E,B02001_002E,B02001_008E&amp;for=county:*&amp;in=state:32</t>
  </si>
  <si>
    <t>https://api.census.gov/data/2022/acs/acs5?get=NAME,B01001_001E,B01002_001E,B01001_002E,B01001_026E,B02001_005E,B02001_003E,B03003_001E,B02001_004E,B02001_007E,B02001_002E,B02001_008E&amp;for=county:*&amp;in=state:32</t>
  </si>
  <si>
    <t>https://api.census.gov/data/2022/acs/acs1?get=NAME,B01001_001E,B01002_001E,B01001_002E,B01001_026E,B02001_005E,B02001_003E,B03003_001E,B02001_004E,B02001_007E,B02001_002E,B02001_008E&amp;for=county:*&amp;in=state:32</t>
  </si>
  <si>
    <t>2020 Pop</t>
  </si>
  <si>
    <t>2010 Pop</t>
  </si>
  <si>
    <t xml:space="preserve"> PopGrowth</t>
  </si>
  <si>
    <t>Churchill County</t>
  </si>
  <si>
    <t>Clark County</t>
  </si>
  <si>
    <t>Douglas County</t>
  </si>
  <si>
    <t>Elko County</t>
  </si>
  <si>
    <t>Esmeralda County</t>
  </si>
  <si>
    <t>Eureka County</t>
  </si>
  <si>
    <t>Humboldt County</t>
  </si>
  <si>
    <t>Lander County</t>
  </si>
  <si>
    <t>Lincoln County</t>
  </si>
  <si>
    <t>Lyon County</t>
  </si>
  <si>
    <t>Mineral County</t>
  </si>
  <si>
    <t>Nye County</t>
  </si>
  <si>
    <t>Pershing County</t>
  </si>
  <si>
    <t>Storey County</t>
  </si>
  <si>
    <t>Washoe County</t>
  </si>
  <si>
    <t>White Pine County</t>
  </si>
  <si>
    <t>Carson City</t>
  </si>
  <si>
    <t>Nevada</t>
  </si>
  <si>
    <t>Fpop_Growth</t>
  </si>
  <si>
    <t>Fpop._2010</t>
  </si>
  <si>
    <t>Fpop._2020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</si>
</sst>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4"/>
      <color theme="1"/>
      <name val="Helvetica"/>
      <family val="2"/>
    </font>
    <font>
      <sz val="8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164" fontId="7" fillId="0" borderId="0" xfId="1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64" fontId="9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Pop Growth 2010 - 2020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Pop Growth 2010 - 2020</a:t>
          </a:r>
        </a:p>
      </cx:txPr>
    </cx:title>
    <cx:plotArea>
      <cx:plotAreaRegion>
        <cx:series layoutId="regionMap" uniqueId="{71ADAB45-5FF5-424A-AEC7-2CE4A288C36D}">
          <cx:tx>
            <cx:txData>
              <cx:f>_xlchart.v5.2</cx:f>
              <cx:v> PopGrowth</cx:v>
            </cx:txData>
          </cx:tx>
          <cx:dataId val="0"/>
          <cx:layoutPr>
            <cx:regionLabelLayout val="none"/>
            <cx:geography cultureLanguage="en-US" cultureRegion="US" attribution="Powered by Bing">
              <cx:geoCache provider="{E9337A44-BEBE-4D9F-B70C-5C5E7DAFC167}">
                <cx:binary>7HxZc9y4kvVfcfj5oxog9hvT8wCyFu2bLS8vDFmWuRMkQYLLr59kyYs298gR3fHFOFr3RstSFapQ
TGTmyXMO9V83439uitvr9tVYFpX9z8345+uk6+r//PGHvUluy2u7V6Y3rbHmS7d3Y8o/zJcv6c3t
H5/b6yGt4j98hOkfN8l1292Or//7v+DV4ltzZG6uu9RU5/1tO13c2r7o7F889uxDr64/l2kVprZr
05sO//n65NZdf75+/fD3/p+v3yVpd/vqLK1uXwWmr7rp9avbqku76c1U3/75+sHL+K9f/fH43Z7s
7FUBm+/6z7CYqD2fEUwYl69fFaaKv/7ew5juScHgG6Xf3u/kuoQlv7ad3WauP39ub62FT7b7/uxr
PPgYcDGuXnQhbpYLsoQghmj8+fptBZfq86vL7rq7ta9fpdbsrlg7BWb5tG8vd5fnj4dB/O//evQL
uGCPfnMvzo+v7v/20MNw/lWYr21i/pkQM58rhH2Gdl9wRh5GWu1JTHzJJHkU6Rfv6CdRfrj+JRF+
uOI3iu5lZ9rb6R9JYIIIlohLtft6ksdqj0P8GfzvYXRfvqPno/to/Qui+2jFbxTds9vWJtAt/v74
UrSHhWJKCf6T7JV7VBCOBWMP4/sre3o+wk9e4QUxfrLmN4ryyfRPlGe5h7jgVEl6F2D8uDyLPZ8g
BvG9OwHw+F37v2vHL9zU8xG+v/gFwb3/9N8orsF1a031KgBI9e3a/j3QCnPKoLXexRU903cF58rH
d4VbqW9vfhfYe7v637f2fHifvsQLgvx00W8U6qNpCfTfjqLlnpJSUH9BUI+xFeYE8vdRcF+6j+fj
+mD1C0L64Pm/UzSvq8+37d8fT2i6nGJGKflak5+Ele8pAgXZx/5d8j5M3aMX7+sn8X24/iURfrji
N4rxMcy97XXx9weZyD3mU8p8/0nHlXvcB0iF6SNI9Qt7eT6wj1/gBZF9vOQ3Cu22Lz+Z4nP398cW
ElgJnxDFn2Su2BO+gOQVjyryr2zm+eA+eYUXRPfJmt8ovKsiN/9IaCVEjwBr9ZOBl+0JpiCvpb8D
Xo/w8kt39XyMH6x+QXwfPP83iu1RWt2Y4p+AUmJP+UoKxPFP5l26RxmGWUiJR0335Vt6PraPP9ML
wvt4yW8U4VXf3ubXf3/+AuPMdlTkTwkNtqcguogroLLuT7ov39Hz8X20/gXhfbTi/0B0/3qLDz7y
QkUDyf5TKeHXlQRQEQBPwayz+3pCRHIgIhmRQsrn6vI39ePn+3k+qt/WPfhsdx/try/G/ylxIDR9
XFzbfyAdYXRlgIPZUk4fj64LLYXEV2LqUR/9hR09H7jHL/BMAB/8CpSwx0t+owCvbLmMOZ//iYoL
kBdJShgCGnn39TjSC8PIBBaCf3v8Qd39la09H+unn+5BaJ+X+54u+o3iHRTXbf4PpDPfw6D1KQSK
3+7rSRVme5gCm6z8Z9Hxi7f1fJwfLn9BjB8u+J3im/TtTZIW/wRxoRbFRxGh1B1EfjLjyj0hMcMC
wSP3Mzn4lU39JMJPXuIlUX6y6P9HpH+u6X93SITX3fVq5624J+v/9aO7ywSWkEdLf46rQAa4i8n+
5z9fw5BDuJDQe7/bNpYXehC1dztR/PlVt9e2+/M1uDUUyISIE4WIRBLG39evhtu7h3y0hyDhfcUF
82G2gveqTNslf76meE8pwGyCEkRhmvZha9b0y0OA0jFnVAhYwyWDf333vpyZYopN9f2qfP35VdWX
ZyatOrt8KgAL9d3zlk8JnUdiCjVHSYIFhx0iePzm+gIk0+Xp/08mqVdSkttT4uZZR2UsNmNDqlVj
CdbNVMV6biuiSdfe9nLONs5OX8ZoEKfD7H+JYs87nWyRrGzdkE2StsmKtFH0MUfKW7Udida5a8cD
NhfjhtdNOeq6bsUmk6ZcNXPr66bB2Up5hOqpT7yQHfktOU1Hs3YtbILIstZDk9jV3A5ki+ZyqnSX
2DTWjo1TEVLT8lSbXHVGT6kzLnBzX/Mw8Rpz3na5yLU1pb+ai85sp8hPzSojngltYaMrGnVTvCqz
rtLgwHgPF6jpNFJ5RgPU+Nk5xhxv+hTLaNM7yzZ5idMDOY9kg0iashX3CrGOclOnmz5GQmxzWUi/
C6Y5jdIzVg/mJGl57WrdN8Zss6gc8ZmZPLq1kZffDkx5RhszYHRlqoQdszql85u088WmGvCcvBFD
96kkTaQCgucGHacI3EJXCTWV+ij8jmfZyps8Lz5DSTbhFSbURgfDMGXeYZ1UVtRBZpQdD11FOLvJ
yzSmTTDPqcmboG3jqG20iuuIXfvCVclxkqSSrkbDpiyIhEinlZonOwR+UfjT/n0Dz4OTeGPqqU3j
5KsR6/uP//3GlPD/naPnxy8XH9ePnza3ZtHc7OMnLRXj+7N+uIKWDP1uEXqU93dmsJ8Uhb988Ncq
Bpg5fl4x7owWz1SMxQLyo2IADwqjGAgdCOoGPPStYkAxEQASYFqDHsKglXyvGFAWuC+lktxHHDHK
gUT9UTHAYCS5EgyoGXCb+L9UMQSUpccVA3gCUNRAGRdQnaCi3a8YSZ3UtiSoPe2ig74PWdRek8yV
Jow96m6pxNMZPFoOazHGRRvaPi7bgPcuOcK0asOuVyggZrZ8bbFl6VollAkNVYPu+4ZshPeW0DLs
WRvGxej3a78aKj117fHI87cyRjqiiS4lX4+kPpBy3k6W7bumPKqKIWiyOmD+dmTdJzGojSyKg4n2
VothXk3eHDDcXfm2TwM785uyWOfcVlq1hU4Gk+s2caPGhV2jwk06tu3VFFehKqbTqLKbaCTXOXuX
9P0UzEO3IVERTthbIy8JaZ+9i6gM4p4dDy1qdNT6JqDdkIdF2QRxGW1EYXVi52B08UEXx1wr0W7G
KF23VbbP7ZTp3DXHwq+DqvEPasm0TKaQiA8tjffdMF5ATQhael5je+LiN2XirQyaVtXY5gGyNtMN
qiI9N4lWvdtHUxIqWoRxHK0ZlWFCqrD2mwsX06PJk8e+Ewf9kGwjOq/Lmm1SXnzGPtIDjg6wKLTL
mznosnh4W1LVBqzkF03iYh3nZaKrvBH7UIY2TdIfDJW3iq0Ke5q9L5txW7nkzdhW6yhNTiuRBbZz
VzFjX9LUX7OpC/sxOssydNklvNMErrqf2xWTota0pYdjnx+gRh1Jk62yMQ/zWra6SP0zUY1a2m4N
4hDswitkpLNinFckQdAOWOTE2k00OkVLp5hUvfJJ7AV06SD90kuqVdlP62SOTxsuonCE5qv55LJV
vfShdNeRlt5kTOLBxx+b952NhqXUjwciI6mO+Aihir+QUTH9bzXc4ScBwOXn1fCeoeFpSVyW3iuJ
cEaJhNqFMBYYitu3krgDUUBugebLoTL6IAx+BVE7By1GQJRQLKhEgJTulUSYuyVWoDeJ5RV/rST6
S8l7BKJgSgfcv1j9fMoflURJCpGPg2tOcevb7TCJ+RajOGeBsu8Hkn3o4mKleDbrJE1WUTu/H+sm
qBldQ204SaMmlN26TSSULRx2dRTI4Q2O+Gnby2CaOshPX3clJNehVzbatme+OxZzGXoF0iaRh0nj
BanAOovsITbl2RyRY49Va9LUHxX1T+PsOJN2nRRyPy723Wg19q/ayAvyttMCtgE+qFVfzgdRBrnN
YO/RYaFowFC0SYxZy7hYD4RsaWQDXDUa0ySAIVYT5QU2a4PUNZt2JEGZEx1Nk1Oakqq6MH1fhWxE
07u0GmUazNksghEf9JwgyHWAicUCHVGUkg0e4cr0qZ8cxfl44Er8xTG8teUMtcbqinSap+mRl8AP
OD2PZjbrHpCoV8t5LeRh3kAhC7KWvCMoI1rlZaxTMmMAj5D6Jad8Ywt5MUsXzFjqLh7SfjXBobrK
UeOI7ku+pilNLmbY0Rk1ys+DjAAuX82Jm7dVeYg9oUlzOkUNCQwfV0Dr4CAf41l3dEhWfpUUpZ5c
iJyj5/9Wh7vpCpL159Xhm2HxaWmQi/r/DS2JvcXGhWF+WWCPBFrlW2kAtARCs6/ALUIYJPqP0rCo
0BwqAMAhrAA3KQBSP9ASWDoBSMGoBN5dcJv8Clry4e0fVgbmw4SFwK3iC5j0FMz998GSJ6J0nKek
PlVojJPDeaSFqrXzOBouWTeX7hLU1HS48TLooGWdEW62bHKTPJrLkrOwivochT4bU1UE+ZJHa985
O4SNtK2sVyYmuBB6rPp5ALxBonzaeM7gflwNtlTn1Vw5fOb7sdniGt6u1kVcmpNxN6IgTgnMK5GM
ldiysW5Nd/Dv0b07ulDif350wY75zKmFJd9PLYPRHw4gB7y+TN/Qmr6fWrm3nEkOxmEoIcv5u9fQ
wLJGgSrgCO4N2U0G307tIs1RDBQDpAHM9Ez9yqldDMoPTi04bLACtgKGVmAsMH50au0oaMX8MjsR
UZu8mXla2Ut/yodJD5V1Tax7r47VKQI7X+408W3ZnvFMeGoKPBzR7rRnSTLXGrvB4Eu/7OybBLd2
0qpsOK43flnnWYAzk6WljmGE9eptQtPM1StSINWIVUG8qfUCjpPMrSMvqf1x05fMlQeNyZ0Xb1uv
yRq1EpGfYBumaROPKwFTgQydKQQ6zIY2w93x1GE8HDWK1/sUl7zhwch7ryU6s3Lc8r5oDqDuN9Um
z2TgTYhfyjlHngtzaBG01WnB66wB4DlX50RVbjiMImWqj7EXZc4PCS1Se45EVRZYF6xIgBsYedNr
0Q+sZTodJPiHdS3TZjoVZev3x/8m2F2CwZn7eYJ99V49k2QLsfqjNXAFZVzAHA3i5lLkvycZsGjQ
3Rmwb7uhGGbsH6gRwd1VEsiwu45yb5AWe1IBUwIPQV2E/Pwl1Agp+TDJIEsF2NygOYHRmMkl0e+3
BuXPWLiulCdRkbijngmanzmKaRd4qPBvszyek3OWK9adzyj1UeCVdVQUmnuRzS+6mSTa93Kbnqoh
dfUpmqpxPsjqpqVHOPKz9kvr4sqcD7t0kLvUQN0YBz3g0yEEnQIlOmPK8IuupX29yZJClSsJGY9P
Zp/ho2xWy9RshvpyFGi2sa7tZNDKWBRJrVJD+KFnK3qW9LIvobE0qVrFKorVKu8Uq9fTlOWZdlj2
8ZqkwNhteZqwCLAsExd8dBcqJrZcQ2sEoItLYBChVXrROeIRGwrdYTFeuS7r43f+PLBi1PBuPozr
HoyaatUioNJWpsttvhrKNAuSbL7MbeI+/5tid8PZX6bYd0niaZKJh0lGOSbQluA+NXD/wNR2L8l8
SBMCEGhpVvdGM8BfAIhA2QbCWZK71PzWydQeEoRwBImBMfMJ/ZVORpa7JR+0MngTBWTa8i6cC7TY
ve9nmcCl6P22TU7zrMrwiZNFVK48H/NsC9zLyhQxDgT13tc2Btq375hmmXiPRflWJN5hM2QHNC/D
qk3eUQ5DBYxDYa+8Q5F2Y9i346cBVYlOe3PS9Sn0HiK3mW9YQJNhXKEiXQ1DnekMtZVOaHGQovrd
xFxQJtll0dd1kCQIGHM/CVpGVwzXwGSM2EHfqG/nXk2alvEX2svDjCUBK+YyUHQ6GkbWBrmLICFr
78bP3C20mWMr6wuhYIhL4i/jkJ2YNjto5XwKmCKcpjoPTe3FGyDmMx3TbFOpSISJ7ca1tYLoOXdr
E0dWQ1RuSVSdNnViNAxHt4x1B/WowmiuprCY8w8mJTGwIU2pm7nYzwZxVjl+Kmx6reIpkHkuNVyv
Kywn4HnUkTdVQII1ddDG9k2ssjiMPNEHHsuYjixWgUPZSUuRCBs2ksMSGe3zQefDEY+gUQ+V+OCc
vyJN9tEKgbST/JDwDm9dxt8RWp1YoiAwiTilbpaaAJDVgK86nSU2DtocIw1yxJtqZjoZx48s6d+D
Kn9tm/kTarz3mQVSKU/yG1YABdcyIAuRTUfdozpfJVIdejTttDNepZvOfJDzsJaNOjaT/yWt6qNU
zEUIVQzmUw+H+VTCHa95TTVGYm2KTm5ErLZyqs9K2e7Htj6rYnOGBNRxZmW2SjrgPgFXTHBGshOv
nm7nple6jOmJqIdDpyagr2R7zHh1MbdAfqKkPkZpvpps48K+aVOd5uYKdnLVF/Q27tKtLbZA7iUX
PI77QKZ8v+SZAcJUnHGcraVf3nCcX3DUrWwjCdBz/Mj67j3FWQXXrT023XhuDJxaO01vY9jjNPar
pponbbz4o53YQdkV5doWxulxLvqDdLInJaXncCNG2E7J/jQmNrT+/MkO0DPiMQoMMTelafdRWr5B
UQRaTZJ+zl0FDJzjt/6YWc1FXmpTpqdN4UMvQ8Bp4iEsOx4u3+MoPZ0Ivc092KQ18iwleQHx8IOy
8YO+E29oZlBoXB9ERfpZTlmrpeNH5VQfGG42pvOBMGjwaeM74FXH/E0DnAaKik4bhGedZnhDJ36R
pu7SRGobgwEH0qEPGkLdPqCMUz/t4Y0G8wFZejiRIl3LxAuQ39Sr1JRXPksJHIFxCvMsrTQdhvXu
HzBiHaRxczSoPF5bCZvuGwYsq6EH1OUgN03pdkznZAOkP5DUpQqBcYd5cJS0n1cYmRytukHV9iKf
hysvGlIYHzHyhg+sjxtfe76B2+dFVldHtBJuXgFPheZVglT7OWqHduTArDtQuHoSm3TDuRXreade
yYiSTbZIWsCmKB2bwekpjiFPu4nDnNiKYtIO2CE9gqiVA6L1NnEa33JWjyE3FVm70ltlg5Prwggf
QtXOWWiJ7xWhUkl+0A3z6Y6IKcbY12UhNynIU1wWs/Yc3Aa/MmJmQS0NKHjNUDMXFlGdn9qOxFBA
ckdsQFVhgzTryaYohyqk/k1bldMmcSJdAWs+b8aFQBJZP2/6ZIKkyAq2KYoM5uIIuG2FC7WqF3oJ
siVdZa3gB12elavaR9NG4TxdiZwMG14l2cqlCEaM5XlUVf0mqabsLE9tcpxSk4fcS/xNLEuYyJva
37jlVTAAqLarxbqrQcRkyy6EmZLzop/b68Qk5JPcYaTYNZ7UKS7rIczLcgiGOzTFYYC/TO9A1oK3
/oUtd7AFWvzPJ4M7Z+gzmAVWfR8MwIiuqAQGiMDNnTti6DtmAS8kgASw6ShGYXb4MRiAJg8jOxA5
DMA/fswZgRQMAAhuCFZ3M/s3nfHsBZr8cm/aI8yiBPj+4B5F6M0YeK2HmCUepqpKlcIn1MtoG3I0
5ft+PaLsE6g7OV9BIbsGMHY9cnmdjQAK/EwmISCwK98Nl5Unj0xOLwsnupA63ARZ3n0hpTzqRtZA
xeCXtCcneQ3FAjW3WW2Iljm+jYbmlKr42FX+ZSXrQaPZ2bOEpSdVNY0aXAAXo/G3Q46z/QYnCejh
DdUUZQflnHoa2ujF1OZrlouNoH0cukEtRHAuAoW6KcR++lHWjIVFn1/6Htof6vqoTviHgro3tcSQ
Fv2Ur00upa5zCpr8BO3dpG+GAjiGxOtNUJu8DcpiOC7tpHQGen1Q2fyoHRn0Ny9PoVKR02pM3oG4
+rEV4poUJtWFx3zAUcIARoC5Zeznt1TaA8btrHmUbbx2tGEJHL7GU5HpwtIs8GbxmccoWjlgOgID
/GPAOnzp0HBqzPS5G9KDOI3WVcwvRxrfzCDcqaGGkUWikxpqRZg2/KRnlQsdBGjjz6mEF/a6zTCz
z3PqXDCOk9PIB8lynrtW554M5rEMuaxvp0iVgXX1W255H4BpYNPFdbmQzW+tAkZ88pM5MBRPYSwq
+ORDC1U0OyVVAT9MduuN2Wk2y33qD0CAO/7Wl5UJGn8GdSCOl3Y5ViG3zaoynlgnbR8P5y3rCAri
CnknpaiJl+s+jUyju7Yd0FkLk90YjHEz4JDBZ5TbGM1suIlHrPwDM2bnAPK4C2NIrUoTmdnsUiUH
c4tAWsvzLoZXrk1zDOVQhTH2Sm1pDegit3HNzx10+2JLcDkxQLWolCubecpfRaS5yjmcMYdzlQeF
6bqDss0sfVcOM2DsjPOxWvMpCRCc7lPpzRP7MtZmZXx25DV91Z7HovMv+wod8MLlq9Kv31a9P6Vf
ojouZR3MpurCf8vuHSED/MTPy+7X+y2e1t3Fo/C97tI9RIHogJkQDK1wn9C9WZEBtwI4SgEfQ6Vc
ePRvhAzc8yfg7yggRihMcPCkH1w934NXA81NCix/mZAhj8suRzDFciYRBpYH3NVQ+++PigX1ofvP
rjqBEaILgGCshy4kc49btJ5byXWuTFn3BybbmpwAZW58N1UniSvZtMaZjOdANIVsjnDH0+Jd1CKp
J9Rb/zgiKchkRnq5O4s6a1QdwLgUmZUl4CYAfQtsDJk494pCAhPKbBEDL0p2JCnzyhkYUzyRdtJ4
YVJZ25b4sp/5MhtkKiHdKYysC/cq4j5vz1JHq+n031N9Byb+ksffmWCfnmlxn8lfzjS4duHgMgLY
Gk7ndyzx8zMNB3c5zoA+JNyELjGwJt/4j0UZ8MEnTHf441fdOjuscF+aBpoS3OPLoQbTDqY76fqe
vw9VlfKmtCbHCgxfAR4yVAB118B4B4rVHPSzjHiQ5gM+x8p2WWB66Ae6N406Gz0Qo5Ip4yucT167
deAbO6wj2ecb38NN2PldO4KHAqbqQLaZ+gI3fWa5xmAR6WHCgdkyaqg8BENGAgOYOKLF0GwnH5My
iC1g7ygt7bk1GRg7pqxBaZD20m7RmKNDToCIyfPxbZ0IGCpsRm7qfOzegNDnymDIUukD01i0aw/o
DAmQQsXrqCN1GIFBV7fK1belRMkJ0O7VQeY1FMRxmqCPgnEx6mJQNuz7aKxXhZH5aY3IAL4cHIky
EF45bseBpRuXNf4JVKrofAAG6y2TYzyC5YR7jfZLhdOwqCLVBIjF81GbO+A1XeHNhwmqpndJm4k3
ompBLG+d6E8LmlRXxQwqHAyMVRFUasi3YPyzgfMFQAZXiXhbQ0JvoIVy89F3qm0D6QrVbaybvDSQ
aHTT57rwK78/QEs1mgnpoTK5McuhToFE2AXZLvXnO1mm22k0gxktCDZ4p95MOyXHmz2wDylZeome
aIO7E9ryybOhcARcTaTPzT7wt1kd6RE1rPXXcUwnWwX/1pS7Tgke2r/olLs/CPC0qCzO2++Nku8x
yUGzvlMHl5b3vaiACAGyNFCq8B8oN1CKvjbKvx5QkAItHKqK+MrS/sKAAn8l48mAIkEfAAJXUb5U
PdjE/U5ZozoeWjx7JwhAqDTAHVCNemKSTVsSkBJy60eAyT1FEyCzSN2it6knabsvdjCM4YNkAWZg
t6vbczryowlQW171mH2B6iBPeZ0GpANMua52SC/CrgfUtwBAkcsFCy6w0AN8aIGl9VeWk0qu2j4B
QmG20Ea3xQ5Z5u2EprdemVQ6W6BnskOhCJD0IqZYX0fJgeoHsM3MkYmV1ZYX9tjEgwI3ne9H9WlB
ZL9PS5TPYZF7F67IBegXXTFeTTUmG6aSYbpMi8qrLgowgoBsTxoHxZVMdgZ3bhG7sAQ4gS9cKZJ5
OwPLMyx0T26SLVkIIAdMULdQQu1CDrmFJmoaczQDb5QtTJJp3Xr3D7aQS3hHM43mal6IJ1tGwbhQ
UTNwUn5SfsALSTXF6LReaKsK+CsPHA5rM8ptsjBbjl5wNm+qhfLKZ6A1U5mtBbBhqQKxsgN+zPBp
1maqgE8xBwIYNFnHrVbAqRlwCpCFZCtL9qYA1i2dcZAsNFwLfFwu4kqPwNDF4PqbgbGLOhYu3/N+
yIPUoNMKuL2UJaXGC92XEnKbLQTguDCBRVprJLM3BXCEJi1vvCEK7EKGAxH7qWllGzbAK4JbPyyA
Z5xIczIsxGO7UJDFjoyM6YFx0YcJA5M6Al/piWwFM+xbU5eZNtadM2A26QiblKZ73wLn2S7k5+T3
wLrnFwJY0ZTn6wJY0rFKjRbAm06zAHMEc8mFVJshTbYdMKyNKq8SYFy7hXrlWeHCGdhYVFfH00LP
drS46ICvbX2g0DgwuFHun1Rdo/Q8utuKJye1D0AuXWhfvhDAOUBFDRl0NnQVYMNm36LqDAwZW0qA
MfMXFtkWVOdJOgUp9PiQLlwz64vlMB8ZOn8RwEbb3q2nqPjQZrLSc+dZHQNz3csMtiajQUOnsCC7
ORhvgel2rAAfJXDf1h8+wTR33aH2fQzcOLAmGgnvTbOQ5ulCn08NWK+gt9TazE7qGFh2JHisKfDu
GSHvsrjEW1Gxw7yiSM88/igsXkE7+8Ar4BWs20w+QAJUg+U31v7sKzB3ORHOcCW8hfzPkphpbxEE
kkUa8Fj9BoBxIKY0D71WHI1qOCtBTYAqI7UEfaES3scS9AY3sLMa9IeIVKWuFkkiB21CLSIFHmVI
QbWwk72tFxnDBz3DB12jWgSOyuvW4KMg4O8F8aNcZJBhSDfzIoxUi0QyLmIJaLdh5Y2nFago2E9O
IqNuOagrklUXDtQWuKC3IKjcFIsMY0rcBmM6HnVeXwZVmgQx54cVj27hqRBtWt7yRdZRi4TkfLLK
4DwHOJrAkwoiUKniyxFUoclU79KdSgRy0TDCyZ1BQSKLlAR2Ayhtjdj2i8yUgN7kFuEJANgnvpOi
THQYgzYVx3ms4Xq9M6YI0xjuVwAVi835Wwqq1rzIW2YRujgoXtUifQ2ggf3b1u9GBejCP2/r3/5e
yNPGvvt7Jj8sCeBHWOZZJL5yiN8b++JWg8EYYDpkNfh4fjR2f2EeMYy4YHK9k0S/TQsgpMJtQOD7
gb9Dd+d//RW1dGc5uD8sAPol4IojPtyTpKhSjybgNO+G0WVZcTrNkDYX/aRY8aXAfdwd5bij3WWe
5tl0iXMqBqjYqkvxiniONpDCMVQbjbPRRWcyoR0ITjDRXzm8ibMZsOlZmUfSNQFLm4yCNJGO4JRN
aU/lFYByg46Luxtd8uHTjN2YvGnghobNXEx204y8FWf1couM4cWMrtzuzhkwsOa3pBqQ02AcEuB4
A0U5mzbDnRcuziYGzriJQverV9gtpjloqIuBbiIluOn+h71r2W4bR6K/Mmf27EOCAEEuJgvq6aes
pJNJesOT7mT4JsE3yK/vC0qyJdtxrGj6jHKmvUskgiSEAqpu3VuVjtQ6U0uBSf5tAhvP9kU6typm
9nT52/s8bugfmdKcQaoCPouSte0tf1gEsTmgd9skSiC5A4AgeoGPCdqbgfh1o3rZBcsosalMhpuE
EnB22DGr36Aw6EPc3TZN3TBBGAX7AGqZR26tHda+lvIhWsGbcUBAgYYCbBSiiCneyFHxRr6Kpcu3
AaCat3xks5RRRCWCOcVyCUsdjBc9D7mY52UIPky8YcWMDJlS7+ldqBJDqUoRtYODZBFPhwWS19Gs
UqmktgrcTiWXcpVmClTCiavUU0FrJNFVOspJnejOp36zaFWyymg6ueAqgSXk0C08ldQqVHqrUaMg
sWxdDuP3Bk6gNinB0GlEsJS+EDOoFukCkUY8y9RT1Eq+V6m0WqgSbJVKtTHyBzJW2TRSSTim0nFt
3MjuQgKzXRW1An3rniGDl6lknt+pvB5TKb7e0y7T1gG6HkLlp3SEYpArWbHoskosKGfawDDrWavn
9pyH3qzofHPet7GcBkgyZsxfUi2Fe4Rnp5NSzyHNA2PrI6Wl0cxbiIOagSwM6IUGk5twUQNOdXgN
tfwMCDopJ1oexeV0IGmSrCtv6Pg0DJo+nFLFR88UM73RGWlnvm6AAx/3SEUTCCAl7qZXLMYt62TS
gCpPDaj0bLDoW+E3bp2n9lwOjndRD7J0PU374vTmnCD4cdOqBLotgk96WSdLEYPs8aWD6i+HoCcx
rpokRh4iSMj7KmuWRtndYHe9yZFhpi4vwBrXbNYscn2o8WygYi0wgFxXtZ8vSlmm6xoJCTdwnGhm
ZPrgihIZbNApq1XQkKkzGOGHxAudRdizudNE/DPIGXU/CWQVXNdqQfDOxNoMDeAXuu3XYtLrPubY
hXrA+c//4wa4v5ehUKSJNNy3z/9dtZMHBfH2kvuYHkAhfkowoSDFUyK+h72PIPTfBfHqrMd2xy1U
/thKXXabnUIGIfBUvOGRbGUdtds9CeI3yCAhChgAzqCqUO8H8UFNZZuVQAa5V/EPfUfZRW8aWulC
ratP+yAtiimyKZeg0BeGmxtFO9MHv5p1SOEvGmDl18zTG/KRBUN8m/OkDK4K2Zp0QkQhGchRtP9g
trT9WMcpZH8+AstA9EROnNaGkEzUUT2VVpC1CzASjbeNWeWfstZrV0PpeEAUtaxr4NOXfHALUBnm
YUrjJS+jdNIAbgPFVvT1wnLwiK4IIBWb+H5Oo6nWm/KO9j235oG0O38JgvPQTGUc6b9HTQISctLH
8ZeCa8Uq9AEnul2XyhVYKSCrFL6Hd09F2sduJMOYX+R9CYXcYDRSLKqe4FOzYoJcNohF7oqAFf2F
r2UsQljcS+3SxgPmV9QbYFh5kabmmtgiXzs08t8OUdyC3tK5IuJJPe2C1PYnXpW3C5CV+RI+SYZc
Lc0HfxnKWt6VQFqzqUZLWYsbMybvayFqPohp5+l5DcUL0IBmkXrEN/kCcQmgA16G+qBPZZSWmT6J
M1vemlAKZQZIHa12QSsjb2JX+EVgIX1G7SyLZ6GdaIn8dyUSWplv2ziDDhI1GIVrs9Br5W2Mvcnx
ZmkSlo4rcr9M58IWNkBik5qWP2FaEHkrz+i1eevlBgTDDBwOgslskIG+rsCmDqZ+AY1RvtQr6Auv
SBkk3rSgVasWDgcsIiM2zJG37GI3Tq0uaS/rummEfmv00GebpVtWVdsNKVhhpKuMj74XEDJ8kmHS
ZyXSsUWdpi6LhyHx1n/JVnaz61TxWKm8L1R+8/PJmZX699ub3n0hmP2tclM5QV14v/Vx1CygjnKp
tgLkB7cPHhzyHyg+ZRLF1cYmtHP78AmiEcDdzAGvYlT27HZCFHnl4EVA1TdehK3rCDiTPUYzLSh9
cAslI8JGiPJmjzbChIMvFyXdrc68bN3rUOe8K2hpDrNSaz3trueCWQvK49aZIqlQt+9APwAzGl/n
+swfdOtdAvUAG3UEPTL4l1oc98uYhJml2Ht69ZU4svk9gX6BvE9LlmfrUikShlGcgJ2nCFeSgE2E
dEkBMErPFD/QHHJDn9TCNuu15vsyWA8oN/G1hBtUT0gHidpdM5jNdaIozyG4z/A1wkkuBXYCsLVC
Pa1dv2Z6clOHEVAxPa2aGa89nt94xAqSKbhUVrhKm1oHUJMOFkR5PaBKV7OGJv+ttcJeLC1dtPQq
4AXKFExy4Ue/91Du/TU29hNaD5bzC9aDMpzPGA6uuTcclVzU4Qng3N8G/vfxEv8FeWodn0Cqpoq7
3RsOVS4Eohj8mcipI+F+n1wEXGAYUBY5MB5lPgjAjjAc80m8BKO1oWAio74NEMSh4SA1xnDg0O42
0PKYTQloGorUIhyjpRMPh1AsLoPIHnSk2QZm/ZFUBUtczwNAuUqGouogqm7hDdUz4LDtZY7sJKpY
5FW/sjQAXtdRB/tr3CoAJFtMNDO3q9/MnGV9c+s5QegYLktl7d3x0OERxBAjEKFXEDDM9A1EYTsh
k1elQvUhLIqA8ONQ9+urIM0zWk+1QbFY6Mho0QpfL2+qke8yAN1D9qsYSTFO0YbdOuCJFyTzPIgs
KT//JWfMz7f+lRrz2+v/oV/RUytQVx5YAWQ34MTB78CSe/CcDejegDejeKGqrfNI4mkQDs04qp6M
RS+wOHfHx8gogRgTCNfWxz7CCpTC4QA1AG3ERqW+8ZBSPBUAd/t+tDUQQX1pV7ehlZUmudFtSIbd
itndO1FXgKbcCKEoXLvNeZFUls+nVggP7b1jQYc5qSzea5+EkQDNxrEQsSn8WbXKws2aSxVNSy+b
cqYr+lbfF9VVUunFPEuZAOU8b98WbZ3fNLSjN5ZnNBMwpMUlazgAe6uvIHCwBLiyQZJ/CiCXAFwg
hjtkuYwJLfJgFXELQbmX5dc168IrU1HlpGUgzwDbJL/VbZzfpCRMP3Rli8SYLQvuT1B1QlXJiGZe
hNGA/KcmKm2kInBjppUXFMxCqkn714il/Tw17fIDEmPpJESqfdmPLEZjZDTGG6EfHGsl+/M3IkBw
z+Libynq1tN6MS7dVmZ8amFKDn1vYcCeIVKGoThA4A5ILGN9BfCisMAfnTOqEhXiWN0BlKdIJlDq
7FkYM5kDXM60tpDdERbGHlsYqi+hnADKPkAYa6nKN4cWJluI76uiSFZxzIBbRArCaGGjkdsoYCNU
EEc5oh2eAj4CICACnI0FVM7RB6cypyRI6lWhABOioBNwa6MZqoPAShWwEpcsQ2ynyXWaxdmCVh3Q
IU+BMS2O13U2IjRMZjc6MJsa2I2pQJyUZwQhHoAdOWI8xYj3GAr6SXM9BK3faKplwwlBGN2QAMo6
u3cLwYJZ7NiRdgFFmy8uWlQecIKq86DX7vxrxHU9/UjbIvTfARoLKzGtI04gZmCWXJdAv7CdgOwl
Ln6WI2hb/O3Zak33pczUp2MNs1/zl6vAfetLu+X3/EDHVXh6HBKN9xzL0r04zkFvvyMav+EA3Zuj
H3vBp/Wtno7z4sM/wFrbwniPN52jJ0H5oq/vn3WekwCn+8C9OXoSXtnq4izfnj927o5/+6Mqjp/l
JKjg6uQlAOgL8IiNs1T9wX88LPf8tM3YWU7FE6jo+PXwA/WQz3IqFHX8xFUBj+z13SPPcxIe0yCP
Xg84IlDU5LhuT2c5FYowfuJ6+IHy0ec5FSebBlbF0X1mznMqTvah4D68vkfAWc6BkgedaBlH9aU5
y0lAIZlTJ0FVhT6ypeV5TsXpLvVRRdjPcxIAtJ9mFNgjX9Nm7SzfXhHGTnt7tS1+v+vneb78fyOo
AmULVXdUKZzDQIL+AoocMDu6cUf+x6jCPiT5HL3mNe4i3vAzKGXNl69jZfyj+xy9dg28YqrusaoJ
mkt8GVGq8Gv1XLeCb31hh1E9/XwLzaiK/ZuZOviqaom8ufsGpVH/fnPQ/IGMCNLepztEabzV9vrt
Oz69+8HNdi+2+89liO44aKiBQtP4Ifrtkz5plLz/Y29ha5j5wxP965+HD7y3Bbx4h13/it1YD60b
OE6S08dXzWB24+yNDQM6eeyXkflxNtUv84Mzo/ob7h5y78FVcvnkoXdth3Zj7Y2vWB8njz82uNsN
tDc4NrSTB/8OT//UZ980GN4958Ozj+q+kwffNFJ8ZnR40SfPzAv07VMf/OVyjaeO/u1qq6eO/J0S
xKcO/2I3iFMHf7E5zcmDB2H99R936AC9W3h7S/37ZvrcUXOf5Xh6AO2yF89ddnjAqm/8kXz9XL75
EwAA//8=</cx:binary>
              </cx:geoCache>
            </cx:geography>
          </cx:layoutPr>
          <cx:valueColors>
            <cx:minColor>
              <a:srgbClr val="FF0000"/>
            </cx:minColor>
            <cx:midColor>
              <a:schemeClr val="bg1"/>
            </cx:midColor>
            <cx:maxColor>
              <a:srgbClr val="00B050"/>
            </cx:maxColor>
          </cx:valueColors>
          <cx:valueColorPositions count="3">
            <cx:midPosition>
              <cx:number val="0"/>
            </cx:midPosition>
          </cx:valueColorPositions>
        </cx:series>
      </cx:plotAreaRegion>
    </cx:plotArea>
    <cx:legend pos="l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_xlchart.v5.9</cx:f>
        <cx:nf>_xlchart.v5.8</cx:nf>
      </cx:strDim>
      <cx:numDim type="colorVal">
        <cx:f>_xlchart.v5.15</cx:f>
        <cx:nf>_xlchart.v5.14</cx:nf>
      </cx:numDim>
    </cx:data>
  </cx:chartData>
  <cx:chart>
    <cx:title pos="t" align="ctr" overlay="0">
      <cx:tx>
        <cx:txData>
          <cx:v>FPop 2010 - 2020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FPop 2010 - 2020</a:t>
          </a:r>
        </a:p>
      </cx:txPr>
    </cx:title>
    <cx:plotArea>
      <cx:plotAreaRegion>
        <cx:series layoutId="regionMap" uniqueId="{D174E356-33F2-E246-8F80-60F4B9BFB390}">
          <cx:tx>
            <cx:txData>
              <cx:f>_xlchart.v5.14</cx:f>
              <cx:v>Fpop_Growth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7HxZc9y4kvVfcfj5oxog9hvT8wCyFu2bLS8vDFmWuRMkQYLLr59kyYs298gR3fHFOFr3RstSFapQ
TGTmyXMO9V83439uitvr9tVYFpX9z8345+uk6+r//PGHvUluy2u7V6Y3rbHmS7d3Y8o/zJcv6c3t
H5/b6yGt4j98hOkfN8l1292Or//7v+DV4ltzZG6uu9RU5/1tO13c2r7o7F889uxDr64/l2kVprZr
05sO//n65NZdf75+/fD3/p+v3yVpd/vqLK1uXwWmr7rp9avbqku76c1U3/75+sHL+K9f/fH43Z7s
7FUBm+/6z7CYqD2fEUwYl69fFaaKv/7ew5juScHgG6Xf3u/kuoQlv7ad3WauP39ub62FT7b7/uxr
PPgYcDGuXnQhbpYLsoQghmj8+fptBZfq86vL7rq7ta9fpdbsrlg7BWb5tG8vd5fnj4dB/O//evQL
uGCPfnMvzo+v7v/20MNw/lWYr21i/pkQM58rhH2Gdl9wRh5GWu1JTHzJJHkU6Rfv6CdRfrj+JRF+
uOI3iu5lZ9rb6R9JYIIIlohLtft6ksdqj0P8GfzvYXRfvqPno/to/Qui+2jFbxTds9vWJtAt/v74
UrSHhWJKCf6T7JV7VBCOBWMP4/sre3o+wk9e4QUxfrLmN4ryyfRPlGe5h7jgVEl6F2D8uDyLPZ8g
BvG9OwHw+F37v2vHL9zU8xG+v/gFwb3/9N8orsF1a031KgBI9e3a/j3QCnPKoLXexRU903cF58rH
d4VbqW9vfhfYe7v637f2fHifvsQLgvx00W8U6qNpCfTfjqLlnpJSUH9BUI+xFeYE8vdRcF+6j+fj
+mD1C0L64Pm/UzSvq8+37d8fT2i6nGJGKflak5+Ele8pAgXZx/5d8j5M3aMX7+sn8X24/iURfrji
N4rxMcy97XXx9weZyD3mU8p8/0nHlXvcB0iF6SNI9Qt7eT6wj1/gBZF9vOQ3Cu22Lz+Z4nP398cW
ElgJnxDFn2Su2BO+gOQVjyryr2zm+eA+eYUXRPfJmt8ovKsiN/9IaCVEjwBr9ZOBl+0JpiCvpb8D
Xo/w8kt39XyMH6x+QXwfPP83iu1RWt2Y4p+AUmJP+UoKxPFP5l26RxmGWUiJR0335Vt6PraPP9ML
wvt4yW8U4VXf3ubXf3/+AuPMdlTkTwkNtqcguogroLLuT7ov39Hz8X20/gXhfbTi/0B0/3qLDz7y
QkUDyf5TKeHXlQRQEQBPwayz+3pCRHIgIhmRQsrn6vI39ePn+3k+qt/WPfhsdx/try/G/ylxIDR9
XFzbfyAdYXRlgIPZUk4fj64LLYXEV2LqUR/9hR09H7jHL/BMAB/8CpSwx0t+owCvbLmMOZ//iYoL
kBdJShgCGnn39TjSC8PIBBaCf3v8Qd39la09H+unn+5BaJ+X+54u+o3iHRTXbf4PpDPfw6D1KQSK
3+7rSRVme5gCm6z8Z9Hxi7f1fJwfLn9BjB8u+J3im/TtTZIW/wRxoRbFRxGh1B1EfjLjyj0hMcMC
wSP3Mzn4lU39JMJPXuIlUX6y6P9HpH+u6X93SITX3fVq5624J+v/9aO7ywSWkEdLf46rQAa4i8n+
5z9fw5BDuJDQe7/bNpYXehC1dztR/PlVt9e2+/M1uDUUyISIE4WIRBLG39evhtu7h3y0hyDhfcUF
82G2gveqTNslf76meE8pwGyCEkRhmvZha9b0y0OA0jFnVAhYwyWDf333vpyZYopN9f2qfP35VdWX
ZyatOrt8KgAL9d3zlk8JnUdiCjVHSYIFhx0iePzm+gIk0+Xp/08mqVdSkttT4uZZR2UsNmNDqlVj
CdbNVMV6biuiSdfe9nLONs5OX8ZoEKfD7H+JYs87nWyRrGzdkE2StsmKtFH0MUfKW7Udida5a8cD
NhfjhtdNOeq6bsUmk6ZcNXPr66bB2Up5hOqpT7yQHfktOU1Hs3YtbILIstZDk9jV3A5ki+ZyqnSX
2DTWjo1TEVLT8lSbXHVGT6kzLnBzX/Mw8Rpz3na5yLU1pb+ai85sp8hPzSojngltYaMrGnVTvCqz
rtLgwHgPF6jpNFJ5RgPU+Nk5xhxv+hTLaNM7yzZ5idMDOY9kg0iashX3CrGOclOnmz5GQmxzWUi/
C6Y5jdIzVg/mJGl57WrdN8Zss6gc8ZmZPLq1kZffDkx5RhszYHRlqoQdszql85u088WmGvCcvBFD
96kkTaQCgucGHacI3EJXCTWV+ij8jmfZyps8Lz5DSTbhFSbURgfDMGXeYZ1UVtRBZpQdD11FOLvJ
yzSmTTDPqcmboG3jqG20iuuIXfvCVclxkqSSrkbDpiyIhEinlZonOwR+UfjT/n0Dz4OTeGPqqU3j
5KsR6/uP//3GlPD/naPnxy8XH9ePnza3ZtHc7OMnLRXj+7N+uIKWDP1uEXqU93dmsJ8Uhb988Ncq
Bpg5fl4x7owWz1SMxQLyo2IADwqjGAgdCOoGPPStYkAxEQASYFqDHsKglXyvGFAWuC+lktxHHDHK
gUT9UTHAYCS5EgyoGXCb+L9UMQSUpccVA3gCUNRAGRdQnaCi3a8YSZ3UtiSoPe2ig74PWdRek8yV
Jow96m6pxNMZPFoOazHGRRvaPi7bgPcuOcK0asOuVyggZrZ8bbFl6VollAkNVYPu+4ZshPeW0DLs
WRvGxej3a78aKj117fHI87cyRjqiiS4lX4+kPpBy3k6W7bumPKqKIWiyOmD+dmTdJzGojSyKg4n2
VothXk3eHDDcXfm2TwM785uyWOfcVlq1hU4Gk+s2caPGhV2jwk06tu3VFFehKqbTqLKbaCTXOXuX
9P0UzEO3IVERTthbIy8JaZ+9i6gM4p4dDy1qdNT6JqDdkIdF2QRxGW1EYXVi52B08UEXx1wr0W7G
KF23VbbP7ZTp3DXHwq+DqvEPasm0TKaQiA8tjffdMF5ATQhael5je+LiN2XirQyaVtXY5gGyNtMN
qiI9N4lWvdtHUxIqWoRxHK0ZlWFCqrD2mwsX06PJk8e+Ewf9kGwjOq/Lmm1SXnzGPtIDjg6wKLTL
mznosnh4W1LVBqzkF03iYh3nZaKrvBH7UIY2TdIfDJW3iq0Ke5q9L5txW7nkzdhW6yhNTiuRBbZz
VzFjX9LUX7OpC/sxOssydNklvNMErrqf2xWTota0pYdjnx+gRh1Jk62yMQ/zWra6SP0zUY1a2m4N
4hDswitkpLNinFckQdAOWOTE2k00OkVLp5hUvfJJ7AV06SD90kuqVdlP62SOTxsuonCE5qv55LJV
vfShdNeRlt5kTOLBxx+b952NhqXUjwciI6mO+Aihir+QUTH9bzXc4ScBwOXn1fCeoeFpSVyW3iuJ
cEaJhNqFMBYYitu3krgDUUBugebLoTL6IAx+BVE7By1GQJRQLKhEgJTulUSYuyVWoDeJ5RV/rST6
S8l7BKJgSgfcv1j9fMoflURJCpGPg2tOcevb7TCJ+RajOGeBsu8Hkn3o4mKleDbrJE1WUTu/H+sm
qBldQ204SaMmlN26TSSULRx2dRTI4Q2O+Gnby2CaOshPX3clJNehVzbatme+OxZzGXoF0iaRh0nj
BanAOovsITbl2RyRY49Va9LUHxX1T+PsOJN2nRRyPy723Wg19q/ayAvyttMCtgE+qFVfzgdRBrnN
YO/RYaFowFC0SYxZy7hYD4RsaWQDXDUa0ySAIVYT5QU2a4PUNZt2JEGZEx1Nk1Oakqq6MH1fhWxE
07u0GmUazNksghEf9JwgyHWAicUCHVGUkg0e4cr0qZ8cxfl44Er8xTG8teUMtcbqinSap+mRl8AP
OD2PZjbrHpCoV8t5LeRh3kAhC7KWvCMoI1rlZaxTMmMAj5D6Jad8Ywt5MUsXzFjqLh7SfjXBobrK
UeOI7ku+pilNLmbY0Rk1ys+DjAAuX82Jm7dVeYg9oUlzOkUNCQwfV0Dr4CAf41l3dEhWfpUUpZ5c
iJyj5/9Wh7vpCpL159Xhm2HxaWmQi/r/DS2JvcXGhWF+WWCPBFrlW2kAtARCs6/ALUIYJPqP0rCo
0BwqAMAhrAA3KQBSP9ASWDoBSMGoBN5dcJv8Clry4e0fVgbmw4SFwK3iC5j0FMz998GSJ6J0nKek
PlVojJPDeaSFqrXzOBouWTeX7hLU1HS48TLooGWdEW62bHKTPJrLkrOwivochT4bU1UE+ZJHa985
O4SNtK2sVyYmuBB6rPp5ALxBonzaeM7gflwNtlTn1Vw5fOb7sdniGt6u1kVcmpNxN6IgTgnMK5GM
ldiysW5Nd/Dv0b07ulDif350wY75zKmFJd9PLYPRHw4gB7y+TN/Qmr6fWrm3nEkOxmEoIcv5u9fQ
wLJGgSrgCO4N2U0G307tIs1RDBQDpAHM9Ez9yqldDMoPTi04bLACtgKGVmAsMH50au0oaMX8MjsR
UZu8mXla2Ut/yodJD5V1Tax7r47VKQI7X+408W3ZnvFMeGoKPBzR7rRnSTLXGrvB4Eu/7OybBLd2
0qpsOK43flnnWYAzk6WljmGE9eptQtPM1StSINWIVUG8qfUCjpPMrSMvqf1x05fMlQeNyZ0Xb1uv
yRq1EpGfYBumaROPKwFTgQydKQQ6zIY2w93x1GE8HDWK1/sUl7zhwch7ryU6s3Lc8r5oDqDuN9Um
z2TgTYhfyjlHngtzaBG01WnB66wB4DlX50RVbjiMImWqj7EXZc4PCS1Se45EVRZYF6xIgBsYedNr
0Q+sZTodJPiHdS3TZjoVZev3x/8m2F2CwZn7eYJ99V49k2QLsfqjNXAFZVzAHA3i5lLkvycZsGjQ
3Rmwb7uhGGbsH6gRwd1VEsiwu45yb5AWe1IBUwIPQV2E/Pwl1Agp+TDJIEsF2NygOYHRmMkl0e+3
BuXPWLiulCdRkbijngmanzmKaRd4qPBvszyek3OWK9adzyj1UeCVdVQUmnuRzS+6mSTa93Kbnqoh
dfUpmqpxPsjqpqVHOPKz9kvr4sqcD7t0kLvUQN0YBz3g0yEEnQIlOmPK8IuupX29yZJClSsJGY9P
Zp/ho2xWy9RshvpyFGi2sa7tZNDKWBRJrVJD+KFnK3qW9LIvobE0qVrFKorVKu8Uq9fTlOWZdlj2
8ZqkwNhteZqwCLAsExd8dBcqJrZcQ2sEoItLYBChVXrROeIRGwrdYTFeuS7r43f+PLBi1PBuPozr
HoyaatUioNJWpsttvhrKNAuSbL7MbeI+/5tid8PZX6bYd0niaZKJh0lGOSbQluA+NXD/wNR2L8l8
SBMCEGhpVvdGM8BfAIhA2QbCWZK71PzWydQeEoRwBImBMfMJ/ZVORpa7JR+0MngTBWTa8i6cC7TY
ve9nmcCl6P22TU7zrMrwiZNFVK48H/NsC9zLyhQxDgT13tc2Btq375hmmXiPRflWJN5hM2QHNC/D
qk3eUQ5DBYxDYa+8Q5F2Y9i346cBVYlOe3PS9Sn0HiK3mW9YQJNhXKEiXQ1DnekMtZVOaHGQovrd
xFxQJtll0dd1kCQIGHM/CVpGVwzXwGSM2EHfqG/nXk2alvEX2svDjCUBK+YyUHQ6GkbWBrmLICFr
78bP3C20mWMr6wuhYIhL4i/jkJ2YNjto5XwKmCKcpjoPTe3FGyDmMx3TbFOpSISJ7ca1tYLoOXdr
E0dWQ1RuSVSdNnViNAxHt4x1B/WowmiuprCY8w8mJTGwIU2pm7nYzwZxVjl+Kmx6reIpkHkuNVyv
Kywn4HnUkTdVQII1ddDG9k2ssjiMPNEHHsuYjixWgUPZSUuRCBs2ksMSGe3zQefDEY+gUQ+V+OCc
vyJN9tEKgbST/JDwDm9dxt8RWp1YoiAwiTilbpaaAJDVgK86nSU2DtocIw1yxJtqZjoZx48s6d+D
Kn9tm/kTarz3mQVSKU/yG1YABdcyIAuRTUfdozpfJVIdejTttDNepZvOfJDzsJaNOjaT/yWt6qNU
zEUIVQzmUw+H+VTCHa95TTVGYm2KTm5ErLZyqs9K2e7Htj6rYnOGBNRxZmW2SjrgPgFXTHBGshOv
nm7nple6jOmJqIdDpyagr2R7zHh1MbdAfqKkPkZpvpps48K+aVOd5uYKdnLVF/Q27tKtLbZA7iUX
PI77QKZ8v+SZAcJUnHGcraVf3nCcX3DUrWwjCdBz/Mj67j3FWQXXrT023XhuDJxaO01vY9jjNPar
pponbbz4o53YQdkV5doWxulxLvqDdLInJaXncCNG2E7J/jQmNrT+/MkO0DPiMQoMMTelafdRWr5B
UQRaTZJ+zl0FDJzjt/6YWc1FXmpTpqdN4UMvQ8Bp4iEsOx4u3+MoPZ0Ivc092KQ18iwleQHx8IOy
8YO+E29oZlBoXB9ERfpZTlmrpeNH5VQfGG42pvOBMGjwaeM74FXH/E0DnAaKik4bhGedZnhDJ36R
pu7SRGobgwEH0qEPGkLdPqCMUz/t4Y0G8wFZejiRIl3LxAuQ39Sr1JRXPksJHIFxCvMsrTQdhvXu
HzBiHaRxczSoPF5bCZvuGwYsq6EH1OUgN03pdkznZAOkP5DUpQqBcYd5cJS0n1cYmRytukHV9iKf
hysvGlIYHzHyhg+sjxtfe76B2+dFVldHtBJuXgFPheZVglT7OWqHduTArDtQuHoSm3TDuRXreade
yYiSTbZIWsCmKB2bwekpjiFPu4nDnNiKYtIO2CE9gqiVA6L1NnEa33JWjyE3FVm70ltlg5Prwggf
QtXOWWiJ7xWhUkl+0A3z6Y6IKcbY12UhNynIU1wWs/Yc3Aa/MmJmQS0NKHjNUDMXFlGdn9qOxFBA
ckdsQFVhgzTryaYohyqk/k1bldMmcSJdAWs+b8aFQBJZP2/6ZIKkyAq2KYoM5uIIuG2FC7WqF3oJ
siVdZa3gB12elavaR9NG4TxdiZwMG14l2cqlCEaM5XlUVf0mqabsLE9tcpxSk4fcS/xNLEuYyJva
37jlVTAAqLarxbqrQcRkyy6EmZLzop/b68Qk5JPcYaTYNZ7UKS7rIczLcgiGOzTFYYC/TO9A1oK3
/oUtd7AFWvzPJ4M7Z+gzmAVWfR8MwIiuqAQGiMDNnTti6DtmAS8kgASw6ShGYXb4MRiAJg8jOxA5
DMA/fswZgRQMAAhuCFZ3M/s3nfHsBZr8cm/aI8yiBPj+4B5F6M0YeK2HmCUepqpKlcIn1MtoG3I0
5ft+PaLsE6g7OV9BIbsGMHY9cnmdjQAK/EwmISCwK98Nl5Unj0xOLwsnupA63ARZ3n0hpTzqRtZA
xeCXtCcneQ3FAjW3WW2Iljm+jYbmlKr42FX+ZSXrQaPZ2bOEpSdVNY0aXAAXo/G3Q46z/QYnCejh
DdUUZQflnHoa2ujF1OZrlouNoH0cukEtRHAuAoW6KcR++lHWjIVFn1/6Htof6vqoTviHgro3tcSQ
Fv2Ur00upa5zCpr8BO3dpG+GAjiGxOtNUJu8DcpiOC7tpHQGen1Q2fyoHRn0Ny9PoVKR02pM3oG4
+rEV4poUJtWFx3zAUcIARoC5Zeznt1TaA8btrHmUbbx2tGEJHL7GU5HpwtIs8GbxmccoWjlgOgID
/GPAOnzp0HBqzPS5G9KDOI3WVcwvRxrfzCDcqaGGkUWikxpqRZg2/KRnlQsdBGjjz6mEF/a6zTCz
z3PqXDCOk9PIB8lynrtW554M5rEMuaxvp0iVgXX1W255H4BpYNPFdbmQzW+tAkZ88pM5MBRPYSwq
+ORDC1U0OyVVAT9MduuN2Wk2y33qD0CAO/7Wl5UJGn8GdSCOl3Y5ViG3zaoynlgnbR8P5y3rCAri
CnknpaiJl+s+jUyju7Yd0FkLk90YjHEz4JDBZ5TbGM1suIlHrPwDM2bnAPK4C2NIrUoTmdnsUiUH
c4tAWsvzLoZXrk1zDOVQhTH2Sm1pDegit3HNzx10+2JLcDkxQLWolCubecpfRaS5yjmcMYdzlQeF
6bqDss0sfVcOM2DsjPOxWvMpCRCc7lPpzRP7MtZmZXx25DV91Z7HovMv+wod8MLlq9Kv31a9P6Vf
ojouZR3MpurCf8vuHSED/MTPy+7X+y2e1t3Fo/C97tI9RIHogJkQDK1wn9C9WZEBtwI4SgEfQ6Vc
ePRvhAzc8yfg7yggRihMcPCkH1w934NXA81NCix/mZAhj8suRzDFciYRBpYH3NVQ+++PigX1ofvP
rjqBEaILgGCshy4kc49btJ5byXWuTFn3BybbmpwAZW58N1UniSvZtMaZjOdANIVsjnDH0+Jd1CKp
J9Rb/zgiKchkRnq5O4s6a1QdwLgUmZUl4CYAfQtsDJk494pCAhPKbBEDL0p2JCnzyhkYUzyRdtJ4
YVJZ25b4sp/5MhtkKiHdKYysC/cq4j5vz1JHq+n031N9Byb+ksffmWCfnmlxn8lfzjS4duHgMgLY
Gk7ndyzx8zMNB3c5zoA+JNyELjGwJt/4j0UZ8MEnTHf441fdOjuscF+aBpoS3OPLoQbTDqY76fqe
vw9VlfKmtCbHCgxfAR4yVAB118B4B4rVHPSzjHiQ5gM+x8p2WWB66Ae6N406Gz0Qo5Ip4yucT167
deAbO6wj2ecb38NN2PldO4KHAqbqQLaZ+gI3fWa5xmAR6WHCgdkyaqg8BENGAgOYOKLF0GwnH5My
iC1g7ygt7bk1GRg7pqxBaZD20m7RmKNDToCIyfPxbZ0IGCpsRm7qfOzegNDnymDIUukD01i0aw/o
DAmQQsXrqCN1GIFBV7fK1belRMkJ0O7VQeY1FMRxmqCPgnEx6mJQNuz7aKxXhZH5aY3IAL4cHIky
EF45bseBpRuXNf4JVKrofAAG6y2TYzyC5YR7jfZLhdOwqCLVBIjF81GbO+A1XeHNhwmqpndJm4k3
ompBLG+d6E8LmlRXxQwqHAyMVRFUasi3YPyzgfMFQAZXiXhbQ0JvoIVy89F3qm0D6QrVbaybvDSQ
aHTT57rwK78/QEs1mgnpoTK5McuhToFE2AXZLvXnO1mm22k0gxktCDZ4p95MOyXHmz2wDylZeome
aIO7E9ryybOhcARcTaTPzT7wt1kd6RE1rPXXcUwnWwX/1pS7Tgke2r/olLs/CPC0qCzO2++Nku8x
yUGzvlMHl5b3vaiACAGyNFCq8B8oN1CKvjbKvx5QkAItHKqK+MrS/sKAAn8l48mAIkEfAAJXUb5U
PdjE/U5ZozoeWjx7JwhAqDTAHVCNemKSTVsSkBJy60eAyT1FEyCzSN2it6knabsvdjCM4YNkAWZg
t6vbczryowlQW171mH2B6iBPeZ0GpANMua52SC/CrgfUtwBAkcsFCy6w0AN8aIGl9VeWk0qu2j4B
QmG20Ea3xQ5Z5u2EprdemVQ6W6BnskOhCJD0IqZYX0fJgeoHsM3MkYmV1ZYX9tjEgwI3ne9H9WlB
ZL9PS5TPYZF7F67IBegXXTFeTTUmG6aSYbpMi8qrLgowgoBsTxoHxZVMdgZ3bhG7sAQ4gS9cKZJ5
OwPLMyx0T26SLVkIIAdMULdQQu1CDrmFJmoaczQDb5QtTJJp3Xr3D7aQS3hHM43mal6IJ1tGwbhQ
UTNwUn5SfsALSTXF6LReaKsK+CsPHA5rM8ptsjBbjl5wNm+qhfLKZ6A1U5mtBbBhqQKxsgN+zPBp
1maqgE8xBwIYNFnHrVbAqRlwCpCFZCtL9qYA1i2dcZAsNFwLfFwu4kqPwNDF4PqbgbGLOhYu3/N+
yIPUoNMKuL2UJaXGC92XEnKbLQTguDCBRVprJLM3BXCEJi1vvCEK7EKGAxH7qWllGzbAK4JbPyyA
Z5xIczIsxGO7UJDFjoyM6YFx0YcJA5M6Al/piWwFM+xbU5eZNtadM2A26QiblKZ73wLn2S7k5+T3
wLrnFwJY0ZTn6wJY0rFKjRbAm06zAHMEc8mFVJshTbYdMKyNKq8SYFy7hXrlWeHCGdhYVFfH00LP
drS46ICvbX2g0DgwuFHun1Rdo/Q8utuKJye1D0AuXWhfvhDAOUBFDRl0NnQVYMNm36LqDAwZW0qA
MfMXFtkWVOdJOgUp9PiQLlwz64vlMB8ZOn8RwEbb3q2nqPjQZrLSc+dZHQNz3csMtiajQUOnsCC7
ORhvgel2rAAfJXDf1h8+wTR33aH2fQzcOLAmGgnvTbOQ5ulCn08NWK+gt9TazE7qGFh2JHisKfDu
GSHvsrjEW1Gxw7yiSM88/igsXkE7+8Ar4BWs20w+QAJUg+U31v7sKzB3ORHOcCW8hfzPkphpbxEE
kkUa8Fj9BoBxIKY0D71WHI1qOCtBTYAqI7UEfaES3scS9AY3sLMa9IeIVKWuFkkiB21CLSIFHmVI
QbWwk72tFxnDBz3DB12jWgSOyuvW4KMg4O8F8aNcZJBhSDfzIoxUi0QyLmIJaLdh5Y2nFago2E9O
IqNuOagrklUXDtQWuKC3IKjcFIsMY0rcBmM6HnVeXwZVmgQx54cVj27hqRBtWt7yRdZRi4TkfLLK
4DwHOJrAkwoiUKniyxFUoclU79KdSgRy0TDCyZ1BQSKLlAR2Ayhtjdj2i8yUgN7kFuEJANgnvpOi
THQYgzYVx3ms4Xq9M6YI0xjuVwAVi835Wwqq1rzIW2YRujgoXtUifQ2ggf3b1u9GBejCP2/r3/5e
yNPGvvt7Jj8sCeBHWOZZJL5yiN8b++JWg8EYYDpkNfh4fjR2f2EeMYy4YHK9k0S/TQsgpMJtQOD7
gb9Dd+d//RW1dGc5uD8sAPol4IojPtyTpKhSjybgNO+G0WVZcTrNkDYX/aRY8aXAfdwd5bij3WWe
5tl0iXMqBqjYqkvxiniONpDCMVQbjbPRRWcyoR0ITjDRXzm8ibMZsOlZmUfSNQFLm4yCNJGO4JRN
aU/lFYByg46Luxtd8uHTjN2YvGnghobNXEx204y8FWf1couM4cWMrtzuzhkwsOa3pBqQ02AcEuB4
A0U5mzbDnRcuziYGzriJQverV9gtpjloqIuBbiIluOn+h71r2W4bR6K/Mmf27EOCAEEuJgvq6aes
pJNJesOT7mT4JsE3yK/vC0qyJdtxrGj6jHKmvUskgiSEAqpu3VuVjtQ6U0uBSf5tAhvP9kU6typm
9nT52/s8bugfmdKcQaoCPouSte0tf1gEsTmgd9skSiC5A4AgeoGPCdqbgfh1o3rZBcsosalMhpuE
EnB22DGr36Aw6EPc3TZN3TBBGAX7AGqZR26tHda+lvIhWsGbcUBAgYYCbBSiiCneyFHxRr6Kpcu3
AaCat3xks5RRRCWCOcVyCUsdjBc9D7mY52UIPky8YcWMDJlS7+ldqBJDqUoRtYODZBFPhwWS19Gs
UqmktgrcTiWXcpVmClTCiavUU0FrJNFVOspJnejOp36zaFWyymg6ueAqgSXk0C08ldQqVHqrUaMg
sWxdDuP3Bk6gNinB0GlEsJS+EDOoFukCkUY8y9RT1Eq+V6m0WqgSbJVKtTHyBzJW2TRSSTim0nFt
3MjuQgKzXRW1An3rniGDl6lknt+pvB5TKb7e0y7T1gG6HkLlp3SEYpArWbHoskosKGfawDDrWavn
9pyH3qzofHPet7GcBkgyZsxfUi2Fe4Rnp5NSzyHNA2PrI6Wl0cxbiIOagSwM6IUGk5twUQNOdXgN
tfwMCDopJ1oexeV0IGmSrCtv6Pg0DJo+nFLFR88UM73RGWlnvm6AAx/3SEUTCCAl7qZXLMYt62TS
gCpPDaj0bLDoW+E3bp2n9lwOjndRD7J0PU374vTmnCD4cdOqBLotgk96WSdLEYPs8aWD6i+HoCcx
rpokRh4iSMj7KmuWRtndYHe9yZFhpi4vwBrXbNYscn2o8WygYi0wgFxXtZ8vSlmm6xoJCTdwnGhm
ZPrgihIZbNApq1XQkKkzGOGHxAudRdizudNE/DPIGXU/CWQVXNdqQfDOxNoMDeAXuu3XYtLrPubY
hXrA+c//4wa4v5ehUKSJNNy3z/9dtZMHBfH2kvuYHkAhfkowoSDFUyK+h72PIPTfBfHqrMd2xy1U
/thKXXabnUIGIfBUvOGRbGUdtds9CeI3yCAhChgAzqCqUO8H8UFNZZuVQAa5V/EPfUfZRW8aWulC
ratP+yAtiimyKZeg0BeGmxtFO9MHv5p1SOEvGmDl18zTG/KRBUN8m/OkDK4K2Zp0QkQhGchRtP9g
trT9WMcpZH8+AstA9EROnNaGkEzUUT2VVpC1CzASjbeNWeWfstZrV0PpeEAUtaxr4NOXfHALUBnm
YUrjJS+jdNIAbgPFVvT1wnLwiK4IIBWb+H5Oo6nWm/KO9j235oG0O38JgvPQTGUc6b9HTQISctLH
8ZeCa8Uq9AEnul2XyhVYKSCrFL6Hd09F2sduJMOYX+R9CYXcYDRSLKqe4FOzYoJcNohF7oqAFf2F
r2UsQljcS+3SxgPmV9QbYFh5kabmmtgiXzs08t8OUdyC3tK5IuJJPe2C1PYnXpW3C5CV+RI+SYZc
Lc0HfxnKWt6VQFqzqUZLWYsbMybvayFqPohp5+l5DcUL0IBmkXrEN/kCcQmgA16G+qBPZZSWmT6J
M1vemlAKZQZIHa12QSsjb2JX+EVgIX1G7SyLZ6GdaIn8dyUSWplv2ziDDhI1GIVrs9Br5W2Mvcnx
ZmkSlo4rcr9M58IWNkBik5qWP2FaEHkrz+i1eevlBgTDDBwOgslskIG+rsCmDqZ+AY1RvtQr6Auv
SBkk3rSgVasWDgcsIiM2zJG37GI3Tq0uaS/rummEfmv00GebpVtWVdsNKVhhpKuMj74XEDJ8kmHS
ZyXSsUWdpi6LhyHx1n/JVnaz61TxWKm8L1R+8/PJmZX699ub3n0hmP2tclM5QV14v/Vx1CygjnKp
tgLkB7cPHhzyHyg+ZRLF1cYmtHP78AmiEcDdzAGvYlT27HZCFHnl4EVA1TdehK3rCDiTPUYzLSh9
cAslI8JGiPJmjzbChIMvFyXdrc68bN3rUOe8K2hpDrNSaz3trueCWQvK49aZIqlQt+9APwAzGl/n
+swfdOtdAvUAG3UEPTL4l1oc98uYhJml2Ht69ZU4svk9gX6BvE9LlmfrUikShlGcgJ2nCFeSgE2E
dEkBMErPFD/QHHJDn9TCNuu15vsyWA8oN/G1hBtUT0gHidpdM5jNdaIozyG4z/A1wkkuBXYCsLVC
Pa1dv2Z6clOHEVAxPa2aGa89nt94xAqSKbhUVrhKm1oHUJMOFkR5PaBKV7OGJv+ttcJeLC1dtPQq
4AXKFExy4Ue/91Du/TU29hNaD5bzC9aDMpzPGA6uuTcclVzU4Qng3N8G/vfxEv8FeWodn0Cqpoq7
3RsOVS4Eohj8mcipI+F+n1wEXGAYUBY5MB5lPgjAjjAc80m8BKO1oWAio74NEMSh4SA1xnDg0O42
0PKYTQloGorUIhyjpRMPh1AsLoPIHnSk2QZm/ZFUBUtczwNAuUqGouogqm7hDdUz4LDtZY7sJKpY
5FW/sjQAXtdRB/tr3CoAJFtMNDO3q9/MnGV9c+s5QegYLktl7d3x0OERxBAjEKFXEDDM9A1EYTsh
k1elQvUhLIqA8ONQ9+urIM0zWk+1QbFY6Mho0QpfL2+qke8yAN1D9qsYSTFO0YbdOuCJFyTzPIgs
KT//JWfMz7f+lRrz2+v/oV/RUytQVx5YAWQ34MTB78CSe/CcDejegDejeKGqrfNI4mkQDs04qp6M
RS+wOHfHx8gogRgTCNfWxz7CCpTC4QA1AG3ERqW+8ZBSPBUAd/t+tDUQQX1pV7ehlZUmudFtSIbd
itndO1FXgKbcCKEoXLvNeZFUls+nVggP7b1jQYc5qSzea5+EkQDNxrEQsSn8WbXKws2aSxVNSy+b
cqYr+lbfF9VVUunFPEuZAOU8b98WbZ3fNLSjN5ZnNBMwpMUlazgAe6uvIHCwBLiyQZJ/CiCXAFwg
hjtkuYwJLfJgFXELQbmX5dc168IrU1HlpGUgzwDbJL/VbZzfpCRMP3Rli8SYLQvuT1B1QlXJiGZe
hNGA/KcmKm2kInBjppUXFMxCqkn714il/Tw17fIDEmPpJESqfdmPLEZjZDTGG6EfHGsl+/M3IkBw
z+Libynq1tN6MS7dVmZ8amFKDn1vYcCeIVKGoThA4A5ILGN9BfCisMAfnTOqEhXiWN0BlKdIJlDq
7FkYM5kDXM60tpDdERbGHlsYqi+hnADKPkAYa6nKN4cWJluI76uiSFZxzIBbRArCaGGjkdsoYCNU
EEc5oh2eAj4CICACnI0FVM7RB6cypyRI6lWhABOioBNwa6MZqoPAShWwEpcsQ2ynyXWaxdmCVh3Q
IU+BMS2O13U2IjRMZjc6MJsa2I2pQJyUZwQhHoAdOWI8xYj3GAr6SXM9BK3faKplwwlBGN2QAMo6
u3cLwYJZ7NiRdgFFmy8uWlQecIKq86DX7vxrxHU9/UjbIvTfARoLKzGtI04gZmCWXJdAv7CdgOwl
Ln6WI2hb/O3Zak33pczUp2MNs1/zl6vAfetLu+X3/EDHVXh6HBKN9xzL0r04zkFvvyMav+EA3Zuj
H3vBp/Wtno7z4sM/wFrbwniPN52jJ0H5oq/vn3WekwCn+8C9OXoSXtnq4izfnj927o5/+6Mqjp/l
JKjg6uQlAOgL8IiNs1T9wX88LPf8tM3YWU7FE6jo+PXwA/WQz3IqFHX8xFUBj+z13SPPcxIe0yCP
Xg84IlDU5LhuT2c5FYowfuJ6+IHy0ec5FSebBlbF0X1mznMqTvah4D68vkfAWc6BkgedaBlH9aU5
y0lAIZlTJ0FVhT6ypeV5TsXpLvVRRdjPcxIAtJ9mFNgjX9Nm7SzfXhHGTnt7tS1+v+vneb78fyOo
AmULVXdUKZzDQIL+AoocMDu6cUf+x6jCPiT5HL3mNe4i3vAzKGXNl69jZfyj+xy9dg28YqrusaoJ
mkt8GVGq8Gv1XLeCb31hh1E9/XwLzaiK/ZuZOviqaom8ufsGpVH/fnPQ/IGMCNLepztEabzV9vrt
Oz69+8HNdi+2+89liO44aKiBQtP4Ifrtkz5plLz/Y29ha5j5wxP965+HD7y3Bbx4h13/it1YD60b
OE6S08dXzWB24+yNDQM6eeyXkflxNtUv84Mzo/ob7h5y78FVcvnkoXdth3Zj7Y2vWB8njz82uNsN
tDc4NrSTB/8OT//UZ980GN4958Ozj+q+kwffNFJ8ZnR40SfPzAv07VMf/OVyjaeO/u1qq6eO/J0S
xKcO/2I3iFMHf7E5zcmDB2H99R936AC9W3h7S/37ZvrcUXOf5Xh6AO2yF89ddnjAqm/8kXz9XL75
EwAA//8=</cx:binary>
              </cx:geoCache>
            </cx:geography>
          </cx:layoutPr>
          <cx:valueColors>
            <cx:minColor>
              <a:srgbClr val="FF0000"/>
            </cx:minColor>
            <cx:midColor>
              <a:schemeClr val="bg1"/>
            </cx:midColor>
            <cx:maxColor>
              <a:srgbClr val="00B050"/>
            </cx:maxColor>
          </cx:valueColors>
          <cx:valueColorPositions count="3">
            <cx:midPosition>
              <cx:number val="0"/>
            </cx:midPosition>
          </cx:valueColorPositions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0</xdr:row>
      <xdr:rowOff>200025</xdr:rowOff>
    </xdr:from>
    <xdr:ext cx="409575" cy="1714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E834C7A3-E812-7F49-BB8A-402359A52C24}"/>
            </a:ext>
          </a:extLst>
        </xdr:cNvPr>
        <xdr:cNvSpPr/>
      </xdr:nvSpPr>
      <xdr:spPr>
        <a:xfrm>
          <a:off x="419100" y="187325"/>
          <a:ext cx="409575" cy="17145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6</xdr:col>
      <xdr:colOff>141651</xdr:colOff>
      <xdr:row>3</xdr:row>
      <xdr:rowOff>108438</xdr:rowOff>
    </xdr:from>
    <xdr:to>
      <xdr:col>10</xdr:col>
      <xdr:colOff>1230922</xdr:colOff>
      <xdr:row>20</xdr:row>
      <xdr:rowOff>78154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B973059-4CC6-8A4E-58E7-AF12B78C02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69351" y="679938"/>
              <a:ext cx="5534271" cy="32082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0</xdr:row>
      <xdr:rowOff>200025</xdr:rowOff>
    </xdr:from>
    <xdr:ext cx="409575" cy="171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250" y="149600"/>
          <a:ext cx="386400" cy="1527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0</xdr:row>
      <xdr:rowOff>200025</xdr:rowOff>
    </xdr:from>
    <xdr:ext cx="409575" cy="1714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DE31409-1270-0D4C-A946-26676978C2F4}"/>
            </a:ext>
          </a:extLst>
        </xdr:cNvPr>
        <xdr:cNvSpPr/>
      </xdr:nvSpPr>
      <xdr:spPr>
        <a:xfrm>
          <a:off x="419100" y="187325"/>
          <a:ext cx="409575" cy="17145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2</xdr:col>
      <xdr:colOff>376113</xdr:colOff>
      <xdr:row>20</xdr:row>
      <xdr:rowOff>4</xdr:rowOff>
    </xdr:from>
    <xdr:to>
      <xdr:col>8</xdr:col>
      <xdr:colOff>244230</xdr:colOff>
      <xdr:row>37</xdr:row>
      <xdr:rowOff>58614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B443282-9EF6-7809-2E23-8CA33211CC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33344" y="3907696"/>
              <a:ext cx="5250963" cy="33801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0</xdr:row>
      <xdr:rowOff>200025</xdr:rowOff>
    </xdr:from>
    <xdr:ext cx="409575" cy="171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9250" y="149600"/>
          <a:ext cx="386400" cy="1527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0</xdr:row>
      <xdr:rowOff>200025</xdr:rowOff>
    </xdr:from>
    <xdr:ext cx="409575" cy="171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9250" y="149600"/>
          <a:ext cx="386400" cy="1527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0</xdr:row>
      <xdr:rowOff>200025</xdr:rowOff>
    </xdr:from>
    <xdr:ext cx="409575" cy="171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9250" y="149600"/>
          <a:ext cx="386400" cy="1527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0</xdr:row>
      <xdr:rowOff>200025</xdr:rowOff>
    </xdr:from>
    <xdr:ext cx="409575" cy="171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9250" y="149600"/>
          <a:ext cx="386400" cy="1527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0</xdr:row>
      <xdr:rowOff>200025</xdr:rowOff>
    </xdr:from>
    <xdr:ext cx="409575" cy="171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9250" y="149600"/>
          <a:ext cx="386400" cy="1527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api.census.gov/data/2010/dec/sf1?get=NAME,P001001,P013001,P012002,P012026,P003005,P003003,P004001,P003004,P003007,P003002,P003008&amp;for=county:*&amp;in=state:32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hyperlink" Target="https://api.census.gov/data/2010/dec/sf1?get=NAME,P001001,P013001,P012002,P012026,P003005,P003003,P004001,P003004,P003007,P003002,P003008&amp;for=county:*&amp;in=state:32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hyperlink" Target="https://api.census.gov/data/2010/dec/sf1?get=NAME,P001001,P013001,P012002,P012026,P003005,P003003,P004001,P003004,P003007,P003002,P003008&amp;for=county:*&amp;in=state:32" TargetMode="Externa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hyperlink" Target="https://api.census.gov/data/2020/dec/dp?get=NAME,DP1_0001C,DP1_0073C,DP1_0025C,DP1_0049C,DP1_0081C,DP1_0079C,DP1_0092C,DP1_0080C,DP1_0083C,DP1_0078C,DP1_0084C&amp;for=county:*&amp;in=state:32" TargetMode="Externa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hyperlink" Target="https://api.census.gov/data/2017/acs/acs5?get=NAME,B01001_001E,B01002_001E,B01001_002E,B01001_026E,B02001_005E,B02001_003E,B03003_001E,B02001_004E,B02001_007E,B02001_002E,B02001_008E&amp;for=county:*&amp;in=state:32" TargetMode="External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hyperlink" Target="https://api.census.gov/data/2017/acs/acs1?get=NAME,B01001_001E,B01002_001E,B01001_002E,B01001_026E,B02001_005E,B02001_003E,B03003_001E,B02001_004E,B02001_007E,B02001_002E,B02001_008E&amp;for=county:*&amp;in=state:32" TargetMode="External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hyperlink" Target="https://api.census.gov/data/2022/acs/acs5?get=NAME,B01001_001E,B01002_001E,B01001_002E,B01001_026E,B02001_005E,B02001_003E,B03003_001E,B02001_004E,B02001_007E,B02001_002E,B02001_008E&amp;for=county:*&amp;in=state:32" TargetMode="External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hyperlink" Target="https://api.census.gov/data/2022/acs/acs1?get=NAME,B01001_001E,B01002_001E,B01001_002E,B01001_026E,B02001_005E,B02001_003E,B03003_001E,B02001_004E,B02001_007E,B02001_002E,B02001_008E&amp;for=county:*&amp;in=state:32" TargetMode="External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40208-DC72-154D-B749-80763506CDA8}">
  <sheetPr>
    <outlinePr summaryBelow="0" summaryRight="0"/>
  </sheetPr>
  <dimension ref="A1:AB19"/>
  <sheetViews>
    <sheetView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" sqref="F3"/>
    </sheetView>
  </sheetViews>
  <sheetFormatPr baseColWidth="10" defaultColWidth="12.6640625" defaultRowHeight="15.75" customHeight="1" x14ac:dyDescent="0.15"/>
  <cols>
    <col min="1" max="1" width="11.6640625" customWidth="1"/>
    <col min="2" max="2" width="23.1640625" customWidth="1"/>
    <col min="3" max="3" width="7.1640625" bestFit="1" customWidth="1"/>
    <col min="4" max="4" width="8.83203125" bestFit="1" customWidth="1"/>
    <col min="5" max="5" width="10.6640625" bestFit="1" customWidth="1"/>
    <col min="6" max="6" width="13.6640625" bestFit="1" customWidth="1"/>
    <col min="9" max="28" width="16.5" customWidth="1"/>
  </cols>
  <sheetData>
    <row r="1" spans="1:28" ht="15.75" customHeight="1" x14ac:dyDescent="0.15">
      <c r="A1" s="1" t="s">
        <v>0</v>
      </c>
      <c r="B1" s="2" t="s">
        <v>1</v>
      </c>
      <c r="C1" s="2"/>
      <c r="D1" s="5" t="s">
        <v>63</v>
      </c>
      <c r="E1" s="5" t="s">
        <v>62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2">
      <c r="A2" s="1" t="s">
        <v>4</v>
      </c>
      <c r="B2" s="1" t="s">
        <v>5</v>
      </c>
      <c r="C2" s="1"/>
      <c r="D2" s="1" t="s">
        <v>6</v>
      </c>
      <c r="E2" s="1" t="s">
        <v>35</v>
      </c>
      <c r="F2" s="6" t="s">
        <v>64</v>
      </c>
      <c r="G2" s="1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4" t="s">
        <v>17</v>
      </c>
    </row>
    <row r="3" spans="1:28" ht="15.75" customHeight="1" x14ac:dyDescent="0.2">
      <c r="A3" s="1">
        <v>32001</v>
      </c>
      <c r="B3" s="1" t="s">
        <v>65</v>
      </c>
      <c r="C3" s="1" t="s">
        <v>82</v>
      </c>
      <c r="D3" s="1">
        <v>24877</v>
      </c>
      <c r="E3" s="1">
        <v>25516</v>
      </c>
      <c r="F3" s="7">
        <f>(E3-D3)/D3</f>
        <v>2.56863769747156E-2</v>
      </c>
      <c r="G3" s="1">
        <v>12369</v>
      </c>
      <c r="H3" s="1">
        <v>665</v>
      </c>
      <c r="I3" s="1">
        <v>395</v>
      </c>
      <c r="J3" s="1">
        <v>24877</v>
      </c>
      <c r="K3" s="1">
        <v>1129</v>
      </c>
      <c r="L3" s="1">
        <v>1183</v>
      </c>
      <c r="M3" s="1">
        <v>20407</v>
      </c>
      <c r="N3" s="1">
        <v>1047</v>
      </c>
    </row>
    <row r="4" spans="1:28" ht="15.75" customHeight="1" x14ac:dyDescent="0.2">
      <c r="A4" s="1">
        <v>32003</v>
      </c>
      <c r="B4" s="1" t="s">
        <v>66</v>
      </c>
      <c r="C4" s="1" t="s">
        <v>82</v>
      </c>
      <c r="D4" s="1">
        <v>1951269</v>
      </c>
      <c r="E4" s="1">
        <v>2265461</v>
      </c>
      <c r="F4" s="7">
        <f t="shared" ref="F4:F19" si="0">(E4-D4)/D4</f>
        <v>0.16101931614759421</v>
      </c>
      <c r="G4" s="1">
        <v>969076</v>
      </c>
      <c r="H4" s="1">
        <v>168831</v>
      </c>
      <c r="I4" s="1">
        <v>204379</v>
      </c>
      <c r="J4" s="1">
        <v>1951269</v>
      </c>
      <c r="K4" s="1">
        <v>14422</v>
      </c>
      <c r="L4" s="1">
        <v>262506</v>
      </c>
      <c r="M4" s="1">
        <v>1188112</v>
      </c>
      <c r="N4" s="1">
        <v>99391</v>
      </c>
    </row>
    <row r="5" spans="1:28" ht="15.75" customHeight="1" x14ac:dyDescent="0.2">
      <c r="A5" s="1">
        <v>32005</v>
      </c>
      <c r="B5" s="1" t="s">
        <v>67</v>
      </c>
      <c r="C5" s="1" t="s">
        <v>82</v>
      </c>
      <c r="D5" s="1">
        <v>46997</v>
      </c>
      <c r="E5" s="1">
        <v>49488</v>
      </c>
      <c r="F5" s="7">
        <f t="shared" si="0"/>
        <v>5.3003383194672002E-2</v>
      </c>
      <c r="G5" s="1">
        <v>23516</v>
      </c>
      <c r="H5" s="1">
        <v>725</v>
      </c>
      <c r="I5" s="1">
        <v>201</v>
      </c>
      <c r="J5" s="1">
        <v>46997</v>
      </c>
      <c r="K5" s="1">
        <v>896</v>
      </c>
      <c r="L5" s="1">
        <v>1506</v>
      </c>
      <c r="M5" s="1">
        <v>42130</v>
      </c>
      <c r="N5" s="1">
        <v>1473</v>
      </c>
    </row>
    <row r="6" spans="1:28" ht="15.75" customHeight="1" x14ac:dyDescent="0.2">
      <c r="A6" s="1">
        <v>32007</v>
      </c>
      <c r="B6" s="1" t="s">
        <v>68</v>
      </c>
      <c r="C6" s="1" t="s">
        <v>82</v>
      </c>
      <c r="D6" s="1">
        <v>48818</v>
      </c>
      <c r="E6" s="1">
        <v>53702</v>
      </c>
      <c r="F6" s="7">
        <f t="shared" si="0"/>
        <v>0.10004506534474988</v>
      </c>
      <c r="G6" s="1">
        <v>23464</v>
      </c>
      <c r="H6" s="1">
        <v>442</v>
      </c>
      <c r="I6" s="1">
        <v>378</v>
      </c>
      <c r="J6" s="1">
        <v>48818</v>
      </c>
      <c r="K6" s="1">
        <v>2594</v>
      </c>
      <c r="L6" s="1">
        <v>5022</v>
      </c>
      <c r="M6" s="1">
        <v>38772</v>
      </c>
      <c r="N6" s="1">
        <v>1541</v>
      </c>
    </row>
    <row r="7" spans="1:28" ht="15.75" customHeight="1" x14ac:dyDescent="0.2">
      <c r="A7" s="1">
        <v>32009</v>
      </c>
      <c r="B7" s="1" t="s">
        <v>69</v>
      </c>
      <c r="C7" s="1" t="s">
        <v>82</v>
      </c>
      <c r="D7" s="1">
        <v>783</v>
      </c>
      <c r="E7" s="1">
        <v>729</v>
      </c>
      <c r="F7" s="7">
        <f t="shared" si="0"/>
        <v>-6.8965517241379309E-2</v>
      </c>
      <c r="G7" s="1">
        <v>349</v>
      </c>
      <c r="H7" s="1">
        <v>3</v>
      </c>
      <c r="I7" s="1">
        <v>0</v>
      </c>
      <c r="J7" s="1">
        <v>783</v>
      </c>
      <c r="K7" s="1">
        <v>33</v>
      </c>
      <c r="L7" s="1">
        <v>52</v>
      </c>
      <c r="M7" s="1">
        <v>661</v>
      </c>
      <c r="N7" s="1">
        <v>34</v>
      </c>
    </row>
    <row r="8" spans="1:28" ht="15.75" customHeight="1" x14ac:dyDescent="0.2">
      <c r="A8" s="1">
        <v>32011</v>
      </c>
      <c r="B8" s="1" t="s">
        <v>70</v>
      </c>
      <c r="C8" s="1" t="s">
        <v>82</v>
      </c>
      <c r="D8" s="1">
        <v>1987</v>
      </c>
      <c r="E8" s="1">
        <v>1855</v>
      </c>
      <c r="F8" s="7">
        <f t="shared" si="0"/>
        <v>-6.643180674383492E-2</v>
      </c>
      <c r="G8" s="1">
        <v>939</v>
      </c>
      <c r="H8" s="1">
        <v>18</v>
      </c>
      <c r="I8" s="1">
        <v>2</v>
      </c>
      <c r="J8" s="1">
        <v>1987</v>
      </c>
      <c r="K8" s="1">
        <v>47</v>
      </c>
      <c r="L8" s="1">
        <v>101</v>
      </c>
      <c r="M8" s="1">
        <v>1775</v>
      </c>
      <c r="N8" s="1">
        <v>44</v>
      </c>
    </row>
    <row r="9" spans="1:28" ht="15.75" customHeight="1" x14ac:dyDescent="0.2">
      <c r="A9" s="1">
        <v>32013</v>
      </c>
      <c r="B9" s="1" t="s">
        <v>71</v>
      </c>
      <c r="C9" s="1" t="s">
        <v>82</v>
      </c>
      <c r="D9" s="1">
        <v>16528</v>
      </c>
      <c r="E9" s="1">
        <v>17285</v>
      </c>
      <c r="F9" s="7">
        <f t="shared" si="0"/>
        <v>4.5801064859632139E-2</v>
      </c>
      <c r="G9" s="1">
        <v>7874</v>
      </c>
      <c r="H9" s="1">
        <v>120</v>
      </c>
      <c r="I9" s="1">
        <v>87</v>
      </c>
      <c r="J9" s="1">
        <v>16528</v>
      </c>
      <c r="K9" s="1">
        <v>692</v>
      </c>
      <c r="L9" s="1">
        <v>2095</v>
      </c>
      <c r="M9" s="1">
        <v>13053</v>
      </c>
      <c r="N9" s="1">
        <v>462</v>
      </c>
    </row>
    <row r="10" spans="1:28" ht="15.75" customHeight="1" x14ac:dyDescent="0.2">
      <c r="A10" s="1">
        <v>32015</v>
      </c>
      <c r="B10" s="1" t="s">
        <v>72</v>
      </c>
      <c r="C10" s="1" t="s">
        <v>82</v>
      </c>
      <c r="D10" s="1">
        <v>5775</v>
      </c>
      <c r="E10" s="1">
        <v>5734</v>
      </c>
      <c r="F10" s="7">
        <f t="shared" si="0"/>
        <v>-7.0995670995670996E-3</v>
      </c>
      <c r="G10" s="1">
        <v>2847</v>
      </c>
      <c r="H10" s="1">
        <v>21</v>
      </c>
      <c r="I10" s="1">
        <v>20</v>
      </c>
      <c r="J10" s="1">
        <v>5775</v>
      </c>
      <c r="K10" s="1">
        <v>242</v>
      </c>
      <c r="L10" s="1">
        <v>496</v>
      </c>
      <c r="M10" s="1">
        <v>4853</v>
      </c>
      <c r="N10" s="1">
        <v>142</v>
      </c>
    </row>
    <row r="11" spans="1:28" ht="15.75" customHeight="1" x14ac:dyDescent="0.2">
      <c r="A11" s="1">
        <v>32017</v>
      </c>
      <c r="B11" s="1" t="s">
        <v>73</v>
      </c>
      <c r="C11" s="1" t="s">
        <v>82</v>
      </c>
      <c r="D11" s="1">
        <v>5345</v>
      </c>
      <c r="E11" s="1">
        <v>4499</v>
      </c>
      <c r="F11" s="7">
        <f t="shared" si="0"/>
        <v>-0.15827876520112255</v>
      </c>
      <c r="G11" s="1">
        <v>2468</v>
      </c>
      <c r="H11" s="1">
        <v>40</v>
      </c>
      <c r="I11" s="1">
        <v>121</v>
      </c>
      <c r="J11" s="1">
        <v>5345</v>
      </c>
      <c r="K11" s="1">
        <v>61</v>
      </c>
      <c r="L11" s="1">
        <v>116</v>
      </c>
      <c r="M11" s="1">
        <v>4871</v>
      </c>
      <c r="N11" s="1">
        <v>121</v>
      </c>
    </row>
    <row r="12" spans="1:28" ht="15.75" customHeight="1" x14ac:dyDescent="0.2">
      <c r="A12" s="1">
        <v>32019</v>
      </c>
      <c r="B12" s="1" t="s">
        <v>74</v>
      </c>
      <c r="C12" s="1" t="s">
        <v>82</v>
      </c>
      <c r="D12" s="1">
        <v>51980</v>
      </c>
      <c r="E12" s="1">
        <v>59235</v>
      </c>
      <c r="F12" s="7">
        <f t="shared" si="0"/>
        <v>0.13957291265871488</v>
      </c>
      <c r="G12" s="1">
        <v>25802</v>
      </c>
      <c r="H12" s="1">
        <v>725</v>
      </c>
      <c r="I12" s="1">
        <v>417</v>
      </c>
      <c r="J12" s="1">
        <v>51980</v>
      </c>
      <c r="K12" s="1">
        <v>1286</v>
      </c>
      <c r="L12" s="1">
        <v>3320</v>
      </c>
      <c r="M12" s="1">
        <v>44164</v>
      </c>
      <c r="N12" s="1">
        <v>1938</v>
      </c>
    </row>
    <row r="13" spans="1:28" ht="15.75" customHeight="1" x14ac:dyDescent="0.2">
      <c r="A13" s="1">
        <v>32021</v>
      </c>
      <c r="B13" s="1" t="s">
        <v>75</v>
      </c>
      <c r="C13" s="1" t="s">
        <v>82</v>
      </c>
      <c r="D13" s="1">
        <v>4772</v>
      </c>
      <c r="E13" s="1">
        <v>4554</v>
      </c>
      <c r="F13" s="7">
        <f t="shared" si="0"/>
        <v>-4.568315171835708E-2</v>
      </c>
      <c r="G13" s="1">
        <v>2422</v>
      </c>
      <c r="H13" s="1">
        <v>53</v>
      </c>
      <c r="I13" s="1">
        <v>196</v>
      </c>
      <c r="J13" s="1">
        <v>4772</v>
      </c>
      <c r="K13" s="1">
        <v>742</v>
      </c>
      <c r="L13" s="1">
        <v>101</v>
      </c>
      <c r="M13" s="1">
        <v>3462</v>
      </c>
      <c r="N13" s="1">
        <v>212</v>
      </c>
    </row>
    <row r="14" spans="1:28" ht="15.75" customHeight="1" x14ac:dyDescent="0.2">
      <c r="A14" s="1">
        <v>32023</v>
      </c>
      <c r="B14" s="1" t="s">
        <v>76</v>
      </c>
      <c r="C14" s="1" t="s">
        <v>82</v>
      </c>
      <c r="D14" s="1">
        <v>43946</v>
      </c>
      <c r="E14" s="1">
        <v>51591</v>
      </c>
      <c r="F14" s="7">
        <f t="shared" si="0"/>
        <v>0.17396350065990079</v>
      </c>
      <c r="G14" s="1">
        <v>21760</v>
      </c>
      <c r="H14" s="1">
        <v>572</v>
      </c>
      <c r="I14" s="1">
        <v>874</v>
      </c>
      <c r="J14" s="1">
        <v>43946</v>
      </c>
      <c r="K14" s="1">
        <v>703</v>
      </c>
      <c r="L14" s="1">
        <v>2273</v>
      </c>
      <c r="M14" s="1">
        <v>37755</v>
      </c>
      <c r="N14" s="1">
        <v>1558</v>
      </c>
    </row>
    <row r="15" spans="1:28" ht="15.75" customHeight="1" x14ac:dyDescent="0.2">
      <c r="A15" s="1">
        <v>32027</v>
      </c>
      <c r="B15" s="1" t="s">
        <v>77</v>
      </c>
      <c r="C15" s="1" t="s">
        <v>82</v>
      </c>
      <c r="D15" s="1">
        <v>6753</v>
      </c>
      <c r="E15" s="1">
        <v>6650</v>
      </c>
      <c r="F15" s="7">
        <f t="shared" si="0"/>
        <v>-1.5252480379090775E-2</v>
      </c>
      <c r="G15" s="1">
        <v>2485</v>
      </c>
      <c r="H15" s="1">
        <v>87</v>
      </c>
      <c r="I15" s="1">
        <v>253</v>
      </c>
      <c r="J15" s="1">
        <v>6753</v>
      </c>
      <c r="K15" s="1">
        <v>217</v>
      </c>
      <c r="L15" s="1">
        <v>455</v>
      </c>
      <c r="M15" s="1">
        <v>5528</v>
      </c>
      <c r="N15" s="1">
        <v>206</v>
      </c>
    </row>
    <row r="16" spans="1:28" ht="15.75" customHeight="1" x14ac:dyDescent="0.2">
      <c r="A16" s="1">
        <v>32029</v>
      </c>
      <c r="B16" s="1" t="s">
        <v>78</v>
      </c>
      <c r="C16" s="1" t="s">
        <v>82</v>
      </c>
      <c r="D16" s="1">
        <v>4010</v>
      </c>
      <c r="E16" s="1">
        <v>4104</v>
      </c>
      <c r="F16" s="7">
        <f t="shared" si="0"/>
        <v>2.3441396508728181E-2</v>
      </c>
      <c r="G16" s="1">
        <v>1966</v>
      </c>
      <c r="H16" s="1">
        <v>66</v>
      </c>
      <c r="I16" s="1">
        <v>40</v>
      </c>
      <c r="J16" s="1">
        <v>4010</v>
      </c>
      <c r="K16" s="1">
        <v>64</v>
      </c>
      <c r="L16" s="1">
        <v>45</v>
      </c>
      <c r="M16" s="1">
        <v>3693</v>
      </c>
      <c r="N16" s="1">
        <v>87</v>
      </c>
    </row>
    <row r="17" spans="1:14" ht="15.75" customHeight="1" x14ac:dyDescent="0.2">
      <c r="A17" s="1">
        <v>32031</v>
      </c>
      <c r="B17" s="1" t="s">
        <v>79</v>
      </c>
      <c r="C17" s="1" t="s">
        <v>82</v>
      </c>
      <c r="D17" s="1">
        <v>421407</v>
      </c>
      <c r="E17" s="1">
        <v>486492</v>
      </c>
      <c r="F17" s="7">
        <f t="shared" si="0"/>
        <v>0.15444688863735059</v>
      </c>
      <c r="G17" s="1">
        <v>208663</v>
      </c>
      <c r="H17" s="1">
        <v>21790</v>
      </c>
      <c r="I17" s="1">
        <v>9814</v>
      </c>
      <c r="J17" s="1">
        <v>421407</v>
      </c>
      <c r="K17" s="1">
        <v>7209</v>
      </c>
      <c r="L17" s="1">
        <v>40038</v>
      </c>
      <c r="M17" s="1">
        <v>324070</v>
      </c>
      <c r="N17" s="1">
        <v>15944</v>
      </c>
    </row>
    <row r="18" spans="1:14" ht="15.75" customHeight="1" x14ac:dyDescent="0.2">
      <c r="A18" s="1">
        <v>32033</v>
      </c>
      <c r="B18" s="1" t="s">
        <v>80</v>
      </c>
      <c r="C18" s="1" t="s">
        <v>82</v>
      </c>
      <c r="D18" s="1">
        <v>10030</v>
      </c>
      <c r="E18" s="1">
        <v>9080</v>
      </c>
      <c r="F18" s="7">
        <f t="shared" si="0"/>
        <v>-9.4715852442671986E-2</v>
      </c>
      <c r="G18" s="1">
        <v>4349</v>
      </c>
      <c r="H18" s="1">
        <v>97</v>
      </c>
      <c r="I18" s="1">
        <v>395</v>
      </c>
      <c r="J18" s="1">
        <v>10030</v>
      </c>
      <c r="K18" s="1">
        <v>419</v>
      </c>
      <c r="L18" s="1">
        <v>279</v>
      </c>
      <c r="M18" s="1">
        <v>8575</v>
      </c>
      <c r="N18" s="1">
        <v>255</v>
      </c>
    </row>
    <row r="19" spans="1:14" ht="15.75" customHeight="1" x14ac:dyDescent="0.2">
      <c r="A19" s="1">
        <v>32510</v>
      </c>
      <c r="B19" s="1" t="s">
        <v>81</v>
      </c>
      <c r="C19" s="1" t="s">
        <v>82</v>
      </c>
      <c r="D19" s="1">
        <v>55274</v>
      </c>
      <c r="E19" s="1">
        <v>58639</v>
      </c>
      <c r="F19" s="7">
        <f t="shared" si="0"/>
        <v>6.0878532402214421E-2</v>
      </c>
      <c r="G19" s="1">
        <v>26586</v>
      </c>
      <c r="H19" s="1">
        <v>1181</v>
      </c>
      <c r="I19" s="1">
        <v>1054</v>
      </c>
      <c r="J19" s="1">
        <v>55274</v>
      </c>
      <c r="K19" s="1">
        <v>1306</v>
      </c>
      <c r="L19" s="1">
        <v>5205</v>
      </c>
      <c r="M19" s="1">
        <v>44807</v>
      </c>
      <c r="N19" s="1">
        <v>1620</v>
      </c>
    </row>
  </sheetData>
  <phoneticPr fontId="8" type="noConversion"/>
  <hyperlinks>
    <hyperlink ref="O2" r:id="rId1" xr:uid="{9D140D1F-1D63-334F-8B20-84DDA36C838C}"/>
  </hyperlinks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9"/>
  <sheetViews>
    <sheetView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2.6640625" defaultRowHeight="15.75" customHeight="1" x14ac:dyDescent="0.15"/>
  <cols>
    <col min="1" max="1" width="11.6640625" customWidth="1"/>
    <col min="2" max="2" width="23.1640625" customWidth="1"/>
    <col min="8" max="27" width="16.5" customWidth="1"/>
  </cols>
  <sheetData>
    <row r="1" spans="1:27" ht="15.75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15">
      <c r="A2" s="1" t="s">
        <v>4</v>
      </c>
      <c r="B2" s="1" t="s">
        <v>5</v>
      </c>
      <c r="C2" s="1" t="s">
        <v>6</v>
      </c>
      <c r="D2" s="1" t="s">
        <v>7</v>
      </c>
      <c r="E2" s="3" t="s">
        <v>8</v>
      </c>
      <c r="F2" s="1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  <c r="M2" s="3" t="s">
        <v>16</v>
      </c>
      <c r="N2" s="4" t="s">
        <v>17</v>
      </c>
    </row>
    <row r="3" spans="1:27" ht="15.75" customHeight="1" x14ac:dyDescent="0.15">
      <c r="A3" s="1">
        <v>32001</v>
      </c>
      <c r="B3" s="1" t="s">
        <v>18</v>
      </c>
      <c r="C3" s="1">
        <v>24877</v>
      </c>
      <c r="D3" s="1">
        <v>39</v>
      </c>
      <c r="E3" s="1">
        <v>12508</v>
      </c>
      <c r="F3" s="1">
        <v>12369</v>
      </c>
      <c r="G3" s="1">
        <v>665</v>
      </c>
      <c r="H3" s="1">
        <v>395</v>
      </c>
      <c r="I3" s="1">
        <v>24877</v>
      </c>
      <c r="J3" s="1">
        <v>1129</v>
      </c>
      <c r="K3" s="1">
        <v>1183</v>
      </c>
      <c r="L3" s="1">
        <v>20407</v>
      </c>
      <c r="M3" s="1">
        <v>1047</v>
      </c>
    </row>
    <row r="4" spans="1:27" ht="15.75" customHeight="1" x14ac:dyDescent="0.15">
      <c r="A4" s="1">
        <v>32003</v>
      </c>
      <c r="B4" s="1" t="s">
        <v>19</v>
      </c>
      <c r="C4" s="1">
        <v>1951269</v>
      </c>
      <c r="D4" s="1">
        <v>35.5</v>
      </c>
      <c r="E4" s="1">
        <v>982193</v>
      </c>
      <c r="F4" s="1">
        <v>969076</v>
      </c>
      <c r="G4" s="1">
        <v>168831</v>
      </c>
      <c r="H4" s="1">
        <v>204379</v>
      </c>
      <c r="I4" s="1">
        <v>1951269</v>
      </c>
      <c r="J4" s="1">
        <v>14422</v>
      </c>
      <c r="K4" s="1">
        <v>262506</v>
      </c>
      <c r="L4" s="1">
        <v>1188112</v>
      </c>
      <c r="M4" s="1">
        <v>99391</v>
      </c>
    </row>
    <row r="5" spans="1:27" ht="15.75" customHeight="1" x14ac:dyDescent="0.15">
      <c r="A5" s="1">
        <v>32005</v>
      </c>
      <c r="B5" s="1" t="s">
        <v>20</v>
      </c>
      <c r="C5" s="1">
        <v>46997</v>
      </c>
      <c r="D5" s="1">
        <v>47.4</v>
      </c>
      <c r="E5" s="1">
        <v>23481</v>
      </c>
      <c r="F5" s="1">
        <v>23516</v>
      </c>
      <c r="G5" s="1">
        <v>725</v>
      </c>
      <c r="H5" s="1">
        <v>201</v>
      </c>
      <c r="I5" s="1">
        <v>46997</v>
      </c>
      <c r="J5" s="1">
        <v>896</v>
      </c>
      <c r="K5" s="1">
        <v>1506</v>
      </c>
      <c r="L5" s="1">
        <v>42130</v>
      </c>
      <c r="M5" s="1">
        <v>1473</v>
      </c>
    </row>
    <row r="6" spans="1:27" ht="15.75" customHeight="1" x14ac:dyDescent="0.15">
      <c r="A6" s="1">
        <v>32007</v>
      </c>
      <c r="B6" s="1" t="s">
        <v>21</v>
      </c>
      <c r="C6" s="1">
        <v>48818</v>
      </c>
      <c r="D6" s="1">
        <v>33.4</v>
      </c>
      <c r="E6" s="1">
        <v>25354</v>
      </c>
      <c r="F6" s="1">
        <v>23464</v>
      </c>
      <c r="G6" s="1">
        <v>442</v>
      </c>
      <c r="H6" s="1">
        <v>378</v>
      </c>
      <c r="I6" s="1">
        <v>48818</v>
      </c>
      <c r="J6" s="1">
        <v>2594</v>
      </c>
      <c r="K6" s="1">
        <v>5022</v>
      </c>
      <c r="L6" s="1">
        <v>38772</v>
      </c>
      <c r="M6" s="1">
        <v>1541</v>
      </c>
    </row>
    <row r="7" spans="1:27" ht="15.75" customHeight="1" x14ac:dyDescent="0.15">
      <c r="A7" s="1">
        <v>32009</v>
      </c>
      <c r="B7" s="1" t="s">
        <v>22</v>
      </c>
      <c r="C7" s="1">
        <v>783</v>
      </c>
      <c r="D7" s="1">
        <v>52.9</v>
      </c>
      <c r="E7" s="1">
        <v>434</v>
      </c>
      <c r="F7" s="1">
        <v>349</v>
      </c>
      <c r="G7" s="1">
        <v>3</v>
      </c>
      <c r="H7" s="1">
        <v>0</v>
      </c>
      <c r="I7" s="1">
        <v>783</v>
      </c>
      <c r="J7" s="1">
        <v>33</v>
      </c>
      <c r="K7" s="1">
        <v>52</v>
      </c>
      <c r="L7" s="1">
        <v>661</v>
      </c>
      <c r="M7" s="1">
        <v>34</v>
      </c>
    </row>
    <row r="8" spans="1:27" ht="15.75" customHeight="1" x14ac:dyDescent="0.15">
      <c r="A8" s="1">
        <v>32011</v>
      </c>
      <c r="B8" s="1" t="s">
        <v>23</v>
      </c>
      <c r="C8" s="1">
        <v>1987</v>
      </c>
      <c r="D8" s="1">
        <v>42.4</v>
      </c>
      <c r="E8" s="1">
        <v>1048</v>
      </c>
      <c r="F8" s="1">
        <v>939</v>
      </c>
      <c r="G8" s="1">
        <v>18</v>
      </c>
      <c r="H8" s="1">
        <v>2</v>
      </c>
      <c r="I8" s="1">
        <v>1987</v>
      </c>
      <c r="J8" s="1">
        <v>47</v>
      </c>
      <c r="K8" s="1">
        <v>101</v>
      </c>
      <c r="L8" s="1">
        <v>1775</v>
      </c>
      <c r="M8" s="1">
        <v>44</v>
      </c>
    </row>
    <row r="9" spans="1:27" ht="15.75" customHeight="1" x14ac:dyDescent="0.15">
      <c r="A9" s="1">
        <v>32013</v>
      </c>
      <c r="B9" s="1" t="s">
        <v>24</v>
      </c>
      <c r="C9" s="1">
        <v>16528</v>
      </c>
      <c r="D9" s="1">
        <v>36.200000000000003</v>
      </c>
      <c r="E9" s="1">
        <v>8654</v>
      </c>
      <c r="F9" s="1">
        <v>7874</v>
      </c>
      <c r="G9" s="1">
        <v>120</v>
      </c>
      <c r="H9" s="1">
        <v>87</v>
      </c>
      <c r="I9" s="1">
        <v>16528</v>
      </c>
      <c r="J9" s="1">
        <v>692</v>
      </c>
      <c r="K9" s="1">
        <v>2095</v>
      </c>
      <c r="L9" s="1">
        <v>13053</v>
      </c>
      <c r="M9" s="1">
        <v>462</v>
      </c>
    </row>
    <row r="10" spans="1:27" ht="15.75" customHeight="1" x14ac:dyDescent="0.15">
      <c r="A10" s="1">
        <v>32015</v>
      </c>
      <c r="B10" s="1" t="s">
        <v>25</v>
      </c>
      <c r="C10" s="1">
        <v>5775</v>
      </c>
      <c r="D10" s="1">
        <v>37.1</v>
      </c>
      <c r="E10" s="1">
        <v>2928</v>
      </c>
      <c r="F10" s="1">
        <v>2847</v>
      </c>
      <c r="G10" s="1">
        <v>21</v>
      </c>
      <c r="H10" s="1">
        <v>20</v>
      </c>
      <c r="I10" s="1">
        <v>5775</v>
      </c>
      <c r="J10" s="1">
        <v>242</v>
      </c>
      <c r="K10" s="1">
        <v>496</v>
      </c>
      <c r="L10" s="1">
        <v>4853</v>
      </c>
      <c r="M10" s="1">
        <v>142</v>
      </c>
    </row>
    <row r="11" spans="1:27" ht="15.75" customHeight="1" x14ac:dyDescent="0.15">
      <c r="A11" s="1">
        <v>32017</v>
      </c>
      <c r="B11" s="1" t="s">
        <v>26</v>
      </c>
      <c r="C11" s="1">
        <v>5345</v>
      </c>
      <c r="D11" s="1">
        <v>39.9</v>
      </c>
      <c r="E11" s="1">
        <v>2877</v>
      </c>
      <c r="F11" s="1">
        <v>2468</v>
      </c>
      <c r="G11" s="1">
        <v>40</v>
      </c>
      <c r="H11" s="1">
        <v>121</v>
      </c>
      <c r="I11" s="1">
        <v>5345</v>
      </c>
      <c r="J11" s="1">
        <v>61</v>
      </c>
      <c r="K11" s="1">
        <v>116</v>
      </c>
      <c r="L11" s="1">
        <v>4871</v>
      </c>
      <c r="M11" s="1">
        <v>121</v>
      </c>
    </row>
    <row r="12" spans="1:27" ht="15.75" customHeight="1" x14ac:dyDescent="0.15">
      <c r="A12" s="1">
        <v>32019</v>
      </c>
      <c r="B12" s="1" t="s">
        <v>27</v>
      </c>
      <c r="C12" s="1">
        <v>51980</v>
      </c>
      <c r="D12" s="1">
        <v>40.9</v>
      </c>
      <c r="E12" s="1">
        <v>26178</v>
      </c>
      <c r="F12" s="1">
        <v>25802</v>
      </c>
      <c r="G12" s="1">
        <v>725</v>
      </c>
      <c r="H12" s="1">
        <v>417</v>
      </c>
      <c r="I12" s="1">
        <v>51980</v>
      </c>
      <c r="J12" s="1">
        <v>1286</v>
      </c>
      <c r="K12" s="1">
        <v>3320</v>
      </c>
      <c r="L12" s="1">
        <v>44164</v>
      </c>
      <c r="M12" s="1">
        <v>1938</v>
      </c>
    </row>
    <row r="13" spans="1:27" ht="15.75" customHeight="1" x14ac:dyDescent="0.15">
      <c r="A13" s="1">
        <v>32021</v>
      </c>
      <c r="B13" s="1" t="s">
        <v>28</v>
      </c>
      <c r="C13" s="1">
        <v>4772</v>
      </c>
      <c r="D13" s="1">
        <v>49.2</v>
      </c>
      <c r="E13" s="1">
        <v>2350</v>
      </c>
      <c r="F13" s="1">
        <v>2422</v>
      </c>
      <c r="G13" s="1">
        <v>53</v>
      </c>
      <c r="H13" s="1">
        <v>196</v>
      </c>
      <c r="I13" s="1">
        <v>4772</v>
      </c>
      <c r="J13" s="1">
        <v>742</v>
      </c>
      <c r="K13" s="1">
        <v>101</v>
      </c>
      <c r="L13" s="1">
        <v>3462</v>
      </c>
      <c r="M13" s="1">
        <v>212</v>
      </c>
    </row>
    <row r="14" spans="1:27" ht="15.75" customHeight="1" x14ac:dyDescent="0.15">
      <c r="A14" s="1">
        <v>32023</v>
      </c>
      <c r="B14" s="1" t="s">
        <v>29</v>
      </c>
      <c r="C14" s="1">
        <v>43946</v>
      </c>
      <c r="D14" s="1">
        <v>48.4</v>
      </c>
      <c r="E14" s="1">
        <v>22186</v>
      </c>
      <c r="F14" s="1">
        <v>21760</v>
      </c>
      <c r="G14" s="1">
        <v>572</v>
      </c>
      <c r="H14" s="1">
        <v>874</v>
      </c>
      <c r="I14" s="1">
        <v>43946</v>
      </c>
      <c r="J14" s="1">
        <v>703</v>
      </c>
      <c r="K14" s="1">
        <v>2273</v>
      </c>
      <c r="L14" s="1">
        <v>37755</v>
      </c>
      <c r="M14" s="1">
        <v>1558</v>
      </c>
    </row>
    <row r="15" spans="1:27" ht="15.75" customHeight="1" x14ac:dyDescent="0.15">
      <c r="A15" s="1">
        <v>32027</v>
      </c>
      <c r="B15" s="1" t="s">
        <v>30</v>
      </c>
      <c r="C15" s="1">
        <v>6753</v>
      </c>
      <c r="D15" s="1">
        <v>41</v>
      </c>
      <c r="E15" s="1">
        <v>4268</v>
      </c>
      <c r="F15" s="1">
        <v>2485</v>
      </c>
      <c r="G15" s="1">
        <v>87</v>
      </c>
      <c r="H15" s="1">
        <v>253</v>
      </c>
      <c r="I15" s="1">
        <v>6753</v>
      </c>
      <c r="J15" s="1">
        <v>217</v>
      </c>
      <c r="K15" s="1">
        <v>455</v>
      </c>
      <c r="L15" s="1">
        <v>5528</v>
      </c>
      <c r="M15" s="1">
        <v>206</v>
      </c>
    </row>
    <row r="16" spans="1:27" ht="15.75" customHeight="1" x14ac:dyDescent="0.15">
      <c r="A16" s="1">
        <v>32029</v>
      </c>
      <c r="B16" s="1" t="s">
        <v>31</v>
      </c>
      <c r="C16" s="1">
        <v>4010</v>
      </c>
      <c r="D16" s="1">
        <v>50.5</v>
      </c>
      <c r="E16" s="1">
        <v>2044</v>
      </c>
      <c r="F16" s="1">
        <v>1966</v>
      </c>
      <c r="G16" s="1">
        <v>66</v>
      </c>
      <c r="H16" s="1">
        <v>40</v>
      </c>
      <c r="I16" s="1">
        <v>4010</v>
      </c>
      <c r="J16" s="1">
        <v>64</v>
      </c>
      <c r="K16" s="1">
        <v>45</v>
      </c>
      <c r="L16" s="1">
        <v>3693</v>
      </c>
      <c r="M16" s="1">
        <v>87</v>
      </c>
    </row>
    <row r="17" spans="1:13" ht="15.75" customHeight="1" x14ac:dyDescent="0.15">
      <c r="A17" s="1">
        <v>32031</v>
      </c>
      <c r="B17" s="1" t="s">
        <v>32</v>
      </c>
      <c r="C17" s="1">
        <v>421407</v>
      </c>
      <c r="D17" s="1">
        <v>37</v>
      </c>
      <c r="E17" s="1">
        <v>212744</v>
      </c>
      <c r="F17" s="1">
        <v>208663</v>
      </c>
      <c r="G17" s="1">
        <v>21790</v>
      </c>
      <c r="H17" s="1">
        <v>9814</v>
      </c>
      <c r="I17" s="1">
        <v>421407</v>
      </c>
      <c r="J17" s="1">
        <v>7209</v>
      </c>
      <c r="K17" s="1">
        <v>40038</v>
      </c>
      <c r="L17" s="1">
        <v>324070</v>
      </c>
      <c r="M17" s="1">
        <v>15944</v>
      </c>
    </row>
    <row r="18" spans="1:13" ht="15.75" customHeight="1" x14ac:dyDescent="0.15">
      <c r="A18" s="1">
        <v>32033</v>
      </c>
      <c r="B18" s="1" t="s">
        <v>33</v>
      </c>
      <c r="C18" s="1">
        <v>10030</v>
      </c>
      <c r="D18" s="1">
        <v>40.799999999999997</v>
      </c>
      <c r="E18" s="1">
        <v>5681</v>
      </c>
      <c r="F18" s="1">
        <v>4349</v>
      </c>
      <c r="G18" s="1">
        <v>97</v>
      </c>
      <c r="H18" s="1">
        <v>395</v>
      </c>
      <c r="I18" s="1">
        <v>10030</v>
      </c>
      <c r="J18" s="1">
        <v>419</v>
      </c>
      <c r="K18" s="1">
        <v>279</v>
      </c>
      <c r="L18" s="1">
        <v>8575</v>
      </c>
      <c r="M18" s="1">
        <v>255</v>
      </c>
    </row>
    <row r="19" spans="1:13" ht="15.75" customHeight="1" x14ac:dyDescent="0.15">
      <c r="A19" s="1">
        <v>32510</v>
      </c>
      <c r="B19" s="1" t="s">
        <v>34</v>
      </c>
      <c r="C19" s="1">
        <v>55274</v>
      </c>
      <c r="D19" s="1">
        <v>41.7</v>
      </c>
      <c r="E19" s="1">
        <v>28688</v>
      </c>
      <c r="F19" s="1">
        <v>26586</v>
      </c>
      <c r="G19" s="1">
        <v>1181</v>
      </c>
      <c r="H19" s="1">
        <v>1054</v>
      </c>
      <c r="I19" s="1">
        <v>55274</v>
      </c>
      <c r="J19" s="1">
        <v>1306</v>
      </c>
      <c r="K19" s="1">
        <v>5205</v>
      </c>
      <c r="L19" s="1">
        <v>44807</v>
      </c>
      <c r="M19" s="1">
        <v>1620</v>
      </c>
    </row>
  </sheetData>
  <hyperlinks>
    <hyperlink ref="N2" r:id="rId1" xr:uid="{00000000-0004-0000-0000-000000000000}"/>
  </hyperlinks>
  <pageMargins left="0.7" right="0.7" top="0.75" bottom="0.75" header="0.3" footer="0.3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32FA3-42D6-B14D-9799-70CD4F0D2855}">
  <sheetPr>
    <outlinePr summaryBelow="0" summaryRight="0"/>
  </sheetPr>
  <dimension ref="A1:AB19"/>
  <sheetViews>
    <sheetView tabSelected="1"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23" sqref="J23"/>
    </sheetView>
  </sheetViews>
  <sheetFormatPr baseColWidth="10" defaultColWidth="12.6640625" defaultRowHeight="15.75" customHeight="1" x14ac:dyDescent="0.15"/>
  <cols>
    <col min="1" max="1" width="11.6640625" customWidth="1"/>
    <col min="2" max="2" width="23.1640625" customWidth="1"/>
    <col min="3" max="3" width="7.1640625" bestFit="1" customWidth="1"/>
    <col min="9" max="28" width="16.5" customWidth="1"/>
  </cols>
  <sheetData>
    <row r="1" spans="1:28" ht="15.75" customHeight="1" x14ac:dyDescent="0.15">
      <c r="A1" s="1" t="s">
        <v>0</v>
      </c>
      <c r="B1" s="2" t="s">
        <v>1</v>
      </c>
      <c r="C1" s="2"/>
      <c r="D1" s="1" t="s">
        <v>2</v>
      </c>
      <c r="E1" s="1" t="s">
        <v>3</v>
      </c>
      <c r="G1" s="10" t="s">
        <v>84</v>
      </c>
      <c r="H1" s="10" t="s">
        <v>85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15">
      <c r="A2" s="1" t="s">
        <v>4</v>
      </c>
      <c r="B2" s="1" t="s">
        <v>5</v>
      </c>
      <c r="C2" s="1"/>
      <c r="D2" s="1" t="s">
        <v>6</v>
      </c>
      <c r="E2" s="1" t="s">
        <v>7</v>
      </c>
      <c r="F2" s="3" t="s">
        <v>8</v>
      </c>
      <c r="G2" s="8" t="s">
        <v>9</v>
      </c>
      <c r="H2" s="9" t="s">
        <v>38</v>
      </c>
      <c r="I2" s="9" t="s">
        <v>83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4" t="s">
        <v>17</v>
      </c>
    </row>
    <row r="3" spans="1:28" ht="15.75" customHeight="1" x14ac:dyDescent="0.15">
      <c r="A3" s="1">
        <v>32001</v>
      </c>
      <c r="B3" s="1" t="s">
        <v>65</v>
      </c>
      <c r="C3" s="1" t="s">
        <v>82</v>
      </c>
      <c r="D3" s="1">
        <v>24877</v>
      </c>
      <c r="E3" s="1">
        <v>39</v>
      </c>
      <c r="F3" s="1">
        <v>12508</v>
      </c>
      <c r="G3" s="1">
        <v>12369</v>
      </c>
      <c r="H3" s="1">
        <v>12736</v>
      </c>
      <c r="I3" s="11">
        <f>(H3-G3)/G3</f>
        <v>2.9670951572479586E-2</v>
      </c>
      <c r="J3" s="1">
        <v>24877</v>
      </c>
      <c r="K3" s="1">
        <v>1129</v>
      </c>
      <c r="L3" s="1">
        <v>1183</v>
      </c>
      <c r="M3" s="1">
        <v>20407</v>
      </c>
      <c r="N3" s="1">
        <v>1047</v>
      </c>
    </row>
    <row r="4" spans="1:28" ht="15.75" customHeight="1" x14ac:dyDescent="0.15">
      <c r="A4" s="1">
        <v>32003</v>
      </c>
      <c r="B4" s="1" t="s">
        <v>66</v>
      </c>
      <c r="C4" s="1" t="s">
        <v>82</v>
      </c>
      <c r="D4" s="1">
        <v>1951269</v>
      </c>
      <c r="E4" s="1">
        <v>35.5</v>
      </c>
      <c r="F4" s="1">
        <v>982193</v>
      </c>
      <c r="G4" s="1">
        <v>969076</v>
      </c>
      <c r="H4" s="1">
        <v>1139017</v>
      </c>
      <c r="I4" s="11">
        <f t="shared" ref="I4:I19" si="0">(H4-G4)/G4</f>
        <v>0.17536395494264639</v>
      </c>
      <c r="J4" s="1">
        <v>1951269</v>
      </c>
      <c r="K4" s="1">
        <v>14422</v>
      </c>
      <c r="L4" s="1">
        <v>262506</v>
      </c>
      <c r="M4" s="1">
        <v>1188112</v>
      </c>
      <c r="N4" s="1">
        <v>99391</v>
      </c>
    </row>
    <row r="5" spans="1:28" ht="15.75" customHeight="1" x14ac:dyDescent="0.15">
      <c r="A5" s="1">
        <v>32005</v>
      </c>
      <c r="B5" s="1" t="s">
        <v>67</v>
      </c>
      <c r="C5" s="1" t="s">
        <v>82</v>
      </c>
      <c r="D5" s="1">
        <v>46997</v>
      </c>
      <c r="E5" s="1">
        <v>47.4</v>
      </c>
      <c r="F5" s="1">
        <v>23481</v>
      </c>
      <c r="G5" s="1">
        <v>23516</v>
      </c>
      <c r="H5" s="1">
        <v>24710</v>
      </c>
      <c r="I5" s="11">
        <f t="shared" si="0"/>
        <v>5.0773941146453477E-2</v>
      </c>
      <c r="J5" s="1">
        <v>46997</v>
      </c>
      <c r="K5" s="1">
        <v>896</v>
      </c>
      <c r="L5" s="1">
        <v>1506</v>
      </c>
      <c r="M5" s="1">
        <v>42130</v>
      </c>
      <c r="N5" s="1">
        <v>1473</v>
      </c>
    </row>
    <row r="6" spans="1:28" ht="15.75" customHeight="1" x14ac:dyDescent="0.15">
      <c r="A6" s="1">
        <v>32007</v>
      </c>
      <c r="B6" s="1" t="s">
        <v>68</v>
      </c>
      <c r="C6" s="1" t="s">
        <v>82</v>
      </c>
      <c r="D6" s="1">
        <v>48818</v>
      </c>
      <c r="E6" s="1">
        <v>33.4</v>
      </c>
      <c r="F6" s="1">
        <v>25354</v>
      </c>
      <c r="G6" s="1">
        <v>23464</v>
      </c>
      <c r="H6" s="1">
        <v>26044</v>
      </c>
      <c r="I6" s="11">
        <f t="shared" si="0"/>
        <v>0.10995567678145243</v>
      </c>
      <c r="J6" s="1">
        <v>48818</v>
      </c>
      <c r="K6" s="1">
        <v>2594</v>
      </c>
      <c r="L6" s="1">
        <v>5022</v>
      </c>
      <c r="M6" s="1">
        <v>38772</v>
      </c>
      <c r="N6" s="1">
        <v>1541</v>
      </c>
    </row>
    <row r="7" spans="1:28" ht="15.75" customHeight="1" x14ac:dyDescent="0.15">
      <c r="A7" s="1">
        <v>32009</v>
      </c>
      <c r="B7" s="1" t="s">
        <v>69</v>
      </c>
      <c r="C7" s="1" t="s">
        <v>82</v>
      </c>
      <c r="D7" s="1">
        <v>783</v>
      </c>
      <c r="E7" s="1">
        <v>52.9</v>
      </c>
      <c r="F7" s="1">
        <v>434</v>
      </c>
      <c r="G7" s="1">
        <v>349</v>
      </c>
      <c r="H7" s="1">
        <v>341</v>
      </c>
      <c r="I7" s="11">
        <f t="shared" si="0"/>
        <v>-2.2922636103151862E-2</v>
      </c>
      <c r="J7" s="1">
        <v>783</v>
      </c>
      <c r="K7" s="1">
        <v>33</v>
      </c>
      <c r="L7" s="1">
        <v>52</v>
      </c>
      <c r="M7" s="1">
        <v>661</v>
      </c>
      <c r="N7" s="1">
        <v>34</v>
      </c>
    </row>
    <row r="8" spans="1:28" ht="15.75" customHeight="1" x14ac:dyDescent="0.15">
      <c r="A8" s="1">
        <v>32011</v>
      </c>
      <c r="B8" s="1" t="s">
        <v>70</v>
      </c>
      <c r="C8" s="1" t="s">
        <v>82</v>
      </c>
      <c r="D8" s="1">
        <v>1987</v>
      </c>
      <c r="E8" s="1">
        <v>42.4</v>
      </c>
      <c r="F8" s="1">
        <v>1048</v>
      </c>
      <c r="G8" s="1">
        <v>939</v>
      </c>
      <c r="H8" s="1">
        <v>835</v>
      </c>
      <c r="I8" s="11">
        <f t="shared" si="0"/>
        <v>-0.11075612353567625</v>
      </c>
      <c r="J8" s="1">
        <v>1987</v>
      </c>
      <c r="K8" s="1">
        <v>47</v>
      </c>
      <c r="L8" s="1">
        <v>101</v>
      </c>
      <c r="M8" s="1">
        <v>1775</v>
      </c>
      <c r="N8" s="1">
        <v>44</v>
      </c>
    </row>
    <row r="9" spans="1:28" ht="15.75" customHeight="1" x14ac:dyDescent="0.15">
      <c r="A9" s="1">
        <v>32013</v>
      </c>
      <c r="B9" s="1" t="s">
        <v>71</v>
      </c>
      <c r="C9" s="1" t="s">
        <v>82</v>
      </c>
      <c r="D9" s="1">
        <v>16528</v>
      </c>
      <c r="E9" s="1">
        <v>36.200000000000003</v>
      </c>
      <c r="F9" s="1">
        <v>8654</v>
      </c>
      <c r="G9" s="1">
        <v>7874</v>
      </c>
      <c r="H9" s="1">
        <v>8359</v>
      </c>
      <c r="I9" s="11">
        <f t="shared" si="0"/>
        <v>6.1595123190246383E-2</v>
      </c>
      <c r="J9" s="1">
        <v>16528</v>
      </c>
      <c r="K9" s="1">
        <v>692</v>
      </c>
      <c r="L9" s="1">
        <v>2095</v>
      </c>
      <c r="M9" s="1">
        <v>13053</v>
      </c>
      <c r="N9" s="1">
        <v>462</v>
      </c>
    </row>
    <row r="10" spans="1:28" ht="15.75" customHeight="1" x14ac:dyDescent="0.15">
      <c r="A10" s="1">
        <v>32015</v>
      </c>
      <c r="B10" s="1" t="s">
        <v>72</v>
      </c>
      <c r="C10" s="1" t="s">
        <v>82</v>
      </c>
      <c r="D10" s="1">
        <v>5775</v>
      </c>
      <c r="E10" s="1">
        <v>37.1</v>
      </c>
      <c r="F10" s="1">
        <v>2928</v>
      </c>
      <c r="G10" s="1">
        <v>2847</v>
      </c>
      <c r="H10" s="1">
        <v>2814</v>
      </c>
      <c r="I10" s="11">
        <f t="shared" si="0"/>
        <v>-1.1591148577449948E-2</v>
      </c>
      <c r="J10" s="1">
        <v>5775</v>
      </c>
      <c r="K10" s="1">
        <v>242</v>
      </c>
      <c r="L10" s="1">
        <v>496</v>
      </c>
      <c r="M10" s="1">
        <v>4853</v>
      </c>
      <c r="N10" s="1">
        <v>142</v>
      </c>
    </row>
    <row r="11" spans="1:28" ht="15.75" customHeight="1" x14ac:dyDescent="0.15">
      <c r="A11" s="1">
        <v>32017</v>
      </c>
      <c r="B11" s="1" t="s">
        <v>73</v>
      </c>
      <c r="C11" s="1" t="s">
        <v>82</v>
      </c>
      <c r="D11" s="1">
        <v>5345</v>
      </c>
      <c r="E11" s="1">
        <v>39.9</v>
      </c>
      <c r="F11" s="1">
        <v>2877</v>
      </c>
      <c r="G11" s="1">
        <v>2468</v>
      </c>
      <c r="H11" s="1">
        <v>2088</v>
      </c>
      <c r="I11" s="11">
        <f t="shared" si="0"/>
        <v>-0.1539708265802269</v>
      </c>
      <c r="J11" s="1">
        <v>5345</v>
      </c>
      <c r="K11" s="1">
        <v>61</v>
      </c>
      <c r="L11" s="1">
        <v>116</v>
      </c>
      <c r="M11" s="1">
        <v>4871</v>
      </c>
      <c r="N11" s="1">
        <v>121</v>
      </c>
    </row>
    <row r="12" spans="1:28" ht="15.75" customHeight="1" x14ac:dyDescent="0.15">
      <c r="A12" s="1">
        <v>32019</v>
      </c>
      <c r="B12" s="1" t="s">
        <v>74</v>
      </c>
      <c r="C12" s="1" t="s">
        <v>82</v>
      </c>
      <c r="D12" s="1">
        <v>51980</v>
      </c>
      <c r="E12" s="1">
        <v>40.9</v>
      </c>
      <c r="F12" s="1">
        <v>26178</v>
      </c>
      <c r="G12" s="1">
        <v>25802</v>
      </c>
      <c r="H12" s="1">
        <v>29166</v>
      </c>
      <c r="I12" s="11">
        <f t="shared" si="0"/>
        <v>0.13037749011704519</v>
      </c>
      <c r="J12" s="1">
        <v>51980</v>
      </c>
      <c r="K12" s="1">
        <v>1286</v>
      </c>
      <c r="L12" s="1">
        <v>3320</v>
      </c>
      <c r="M12" s="1">
        <v>44164</v>
      </c>
      <c r="N12" s="1">
        <v>1938</v>
      </c>
    </row>
    <row r="13" spans="1:28" ht="15.75" customHeight="1" x14ac:dyDescent="0.15">
      <c r="A13" s="1">
        <v>32021</v>
      </c>
      <c r="B13" s="1" t="s">
        <v>75</v>
      </c>
      <c r="C13" s="1" t="s">
        <v>82</v>
      </c>
      <c r="D13" s="1">
        <v>4772</v>
      </c>
      <c r="E13" s="1">
        <v>49.2</v>
      </c>
      <c r="F13" s="1">
        <v>2350</v>
      </c>
      <c r="G13" s="1">
        <v>2422</v>
      </c>
      <c r="H13" s="1">
        <v>2270</v>
      </c>
      <c r="I13" s="11">
        <f t="shared" si="0"/>
        <v>-6.2758051197357556E-2</v>
      </c>
      <c r="J13" s="1">
        <v>4772</v>
      </c>
      <c r="K13" s="1">
        <v>742</v>
      </c>
      <c r="L13" s="1">
        <v>101</v>
      </c>
      <c r="M13" s="1">
        <v>3462</v>
      </c>
      <c r="N13" s="1">
        <v>212</v>
      </c>
    </row>
    <row r="14" spans="1:28" ht="15.75" customHeight="1" x14ac:dyDescent="0.15">
      <c r="A14" s="1">
        <v>32023</v>
      </c>
      <c r="B14" s="1" t="s">
        <v>76</v>
      </c>
      <c r="C14" s="1" t="s">
        <v>82</v>
      </c>
      <c r="D14" s="1">
        <v>43946</v>
      </c>
      <c r="E14" s="1">
        <v>48.4</v>
      </c>
      <c r="F14" s="1">
        <v>22186</v>
      </c>
      <c r="G14" s="1">
        <v>21760</v>
      </c>
      <c r="H14" s="1">
        <v>25059</v>
      </c>
      <c r="I14" s="11">
        <f t="shared" si="0"/>
        <v>0.15160845588235294</v>
      </c>
      <c r="J14" s="1">
        <v>43946</v>
      </c>
      <c r="K14" s="1">
        <v>703</v>
      </c>
      <c r="L14" s="1">
        <v>2273</v>
      </c>
      <c r="M14" s="1">
        <v>37755</v>
      </c>
      <c r="N14" s="1">
        <v>1558</v>
      </c>
    </row>
    <row r="15" spans="1:28" ht="15.75" customHeight="1" x14ac:dyDescent="0.15">
      <c r="A15" s="1">
        <v>32027</v>
      </c>
      <c r="B15" s="1" t="s">
        <v>77</v>
      </c>
      <c r="C15" s="1" t="s">
        <v>82</v>
      </c>
      <c r="D15" s="1">
        <v>6753</v>
      </c>
      <c r="E15" s="1">
        <v>41</v>
      </c>
      <c r="F15" s="1">
        <v>4268</v>
      </c>
      <c r="G15" s="1">
        <v>2485</v>
      </c>
      <c r="H15" s="1">
        <v>2365</v>
      </c>
      <c r="I15" s="11">
        <f t="shared" si="0"/>
        <v>-4.8289738430583498E-2</v>
      </c>
      <c r="J15" s="1">
        <v>6753</v>
      </c>
      <c r="K15" s="1">
        <v>217</v>
      </c>
      <c r="L15" s="1">
        <v>455</v>
      </c>
      <c r="M15" s="1">
        <v>5528</v>
      </c>
      <c r="N15" s="1">
        <v>206</v>
      </c>
    </row>
    <row r="16" spans="1:28" ht="15.75" customHeight="1" x14ac:dyDescent="0.15">
      <c r="A16" s="1">
        <v>32029</v>
      </c>
      <c r="B16" s="1" t="s">
        <v>78</v>
      </c>
      <c r="C16" s="1" t="s">
        <v>82</v>
      </c>
      <c r="D16" s="1">
        <v>4010</v>
      </c>
      <c r="E16" s="1">
        <v>50.5</v>
      </c>
      <c r="F16" s="1">
        <v>2044</v>
      </c>
      <c r="G16" s="1">
        <v>1966</v>
      </c>
      <c r="H16" s="1">
        <v>2065</v>
      </c>
      <c r="I16" s="11">
        <f t="shared" si="0"/>
        <v>5.0356052899287893E-2</v>
      </c>
      <c r="J16" s="1">
        <v>4010</v>
      </c>
      <c r="K16" s="1">
        <v>64</v>
      </c>
      <c r="L16" s="1">
        <v>45</v>
      </c>
      <c r="M16" s="1">
        <v>3693</v>
      </c>
      <c r="N16" s="1">
        <v>87</v>
      </c>
    </row>
    <row r="17" spans="1:14" ht="15.75" customHeight="1" x14ac:dyDescent="0.15">
      <c r="A17" s="1">
        <v>32031</v>
      </c>
      <c r="B17" s="1" t="s">
        <v>79</v>
      </c>
      <c r="C17" s="1" t="s">
        <v>82</v>
      </c>
      <c r="D17" s="1">
        <v>421407</v>
      </c>
      <c r="E17" s="1">
        <v>37</v>
      </c>
      <c r="F17" s="1">
        <v>212744</v>
      </c>
      <c r="G17" s="1">
        <v>208663</v>
      </c>
      <c r="H17" s="1">
        <v>240607</v>
      </c>
      <c r="I17" s="11">
        <f t="shared" si="0"/>
        <v>0.15308895204228828</v>
      </c>
      <c r="J17" s="1">
        <v>421407</v>
      </c>
      <c r="K17" s="1">
        <v>7209</v>
      </c>
      <c r="L17" s="1">
        <v>40038</v>
      </c>
      <c r="M17" s="1">
        <v>324070</v>
      </c>
      <c r="N17" s="1">
        <v>15944</v>
      </c>
    </row>
    <row r="18" spans="1:14" ht="15.75" customHeight="1" x14ac:dyDescent="0.15">
      <c r="A18" s="1">
        <v>32033</v>
      </c>
      <c r="B18" s="1" t="s">
        <v>80</v>
      </c>
      <c r="C18" s="1" t="s">
        <v>82</v>
      </c>
      <c r="D18" s="1">
        <v>10030</v>
      </c>
      <c r="E18" s="1">
        <v>40.799999999999997</v>
      </c>
      <c r="F18" s="1">
        <v>5681</v>
      </c>
      <c r="G18" s="1">
        <v>4349</v>
      </c>
      <c r="H18" s="1">
        <v>3878</v>
      </c>
      <c r="I18" s="11">
        <f t="shared" si="0"/>
        <v>-0.10830075879512531</v>
      </c>
      <c r="J18" s="1">
        <v>10030</v>
      </c>
      <c r="K18" s="1">
        <v>419</v>
      </c>
      <c r="L18" s="1">
        <v>279</v>
      </c>
      <c r="M18" s="1">
        <v>8575</v>
      </c>
      <c r="N18" s="1">
        <v>255</v>
      </c>
    </row>
    <row r="19" spans="1:14" ht="15.75" customHeight="1" x14ac:dyDescent="0.15">
      <c r="A19" s="1">
        <v>32510</v>
      </c>
      <c r="B19" s="1" t="s">
        <v>81</v>
      </c>
      <c r="C19" s="1" t="s">
        <v>82</v>
      </c>
      <c r="D19" s="1">
        <v>55274</v>
      </c>
      <c r="E19" s="1">
        <v>41.7</v>
      </c>
      <c r="F19" s="1">
        <v>28688</v>
      </c>
      <c r="G19" s="1">
        <v>26586</v>
      </c>
      <c r="H19" s="1">
        <v>28526</v>
      </c>
      <c r="I19" s="11">
        <f t="shared" si="0"/>
        <v>7.297073647784548E-2</v>
      </c>
      <c r="J19" s="1">
        <v>55274</v>
      </c>
      <c r="K19" s="1">
        <v>1306</v>
      </c>
      <c r="L19" s="1">
        <v>5205</v>
      </c>
      <c r="M19" s="1">
        <v>44807</v>
      </c>
      <c r="N19" s="1">
        <v>1620</v>
      </c>
    </row>
  </sheetData>
  <hyperlinks>
    <hyperlink ref="O2" r:id="rId1" xr:uid="{67CF30A9-1E81-C247-B498-2D3F23299021}"/>
  </hyperlinks>
  <pageMargins left="0.7" right="0.7" top="0.75" bottom="0.75" header="0.3" footer="0.3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9"/>
  <sheetViews>
    <sheetView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2" sqref="F2"/>
    </sheetView>
  </sheetViews>
  <sheetFormatPr baseColWidth="10" defaultColWidth="12.6640625" defaultRowHeight="15.75" customHeight="1" x14ac:dyDescent="0.15"/>
  <cols>
    <col min="1" max="1" width="11.6640625" customWidth="1"/>
    <col min="2" max="2" width="23.1640625" customWidth="1"/>
    <col min="8" max="27" width="16.5" customWidth="1"/>
  </cols>
  <sheetData>
    <row r="1" spans="1:27" ht="15.75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15">
      <c r="A2" s="1" t="s">
        <v>4</v>
      </c>
      <c r="B2" s="1" t="s">
        <v>5</v>
      </c>
      <c r="C2" s="1" t="s">
        <v>35</v>
      </c>
      <c r="D2" s="1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4" t="s">
        <v>46</v>
      </c>
    </row>
    <row r="3" spans="1:27" ht="15.75" customHeight="1" x14ac:dyDescent="0.15">
      <c r="A3" s="1">
        <v>32001</v>
      </c>
      <c r="B3" s="1" t="s">
        <v>18</v>
      </c>
      <c r="C3" s="1">
        <v>25516</v>
      </c>
      <c r="D3" s="1">
        <v>40.700000000000003</v>
      </c>
      <c r="E3" s="1">
        <v>12780</v>
      </c>
      <c r="F3" s="1">
        <v>12736</v>
      </c>
      <c r="G3" s="1">
        <v>680</v>
      </c>
      <c r="H3" s="1">
        <v>460</v>
      </c>
      <c r="I3" s="1">
        <v>25516</v>
      </c>
      <c r="J3" s="1">
        <v>1174</v>
      </c>
      <c r="K3" s="1">
        <v>1499</v>
      </c>
      <c r="L3" s="1">
        <v>18717</v>
      </c>
      <c r="M3" s="1">
        <v>2893</v>
      </c>
    </row>
    <row r="4" spans="1:27" ht="15.75" customHeight="1" x14ac:dyDescent="0.15">
      <c r="A4" s="1">
        <v>32003</v>
      </c>
      <c r="B4" s="1" t="s">
        <v>19</v>
      </c>
      <c r="C4" s="1">
        <v>2265461</v>
      </c>
      <c r="D4" s="1">
        <v>38</v>
      </c>
      <c r="E4" s="1">
        <v>1126444</v>
      </c>
      <c r="F4" s="1">
        <v>1139017</v>
      </c>
      <c r="G4" s="1">
        <v>237663</v>
      </c>
      <c r="H4" s="1">
        <v>286684</v>
      </c>
      <c r="I4" s="1">
        <v>2265461</v>
      </c>
      <c r="J4" s="1">
        <v>23735</v>
      </c>
      <c r="K4" s="1">
        <v>348344</v>
      </c>
      <c r="L4" s="1">
        <v>1016368</v>
      </c>
      <c r="M4" s="1">
        <v>332095</v>
      </c>
    </row>
    <row r="5" spans="1:27" ht="15.75" customHeight="1" x14ac:dyDescent="0.15">
      <c r="A5" s="1">
        <v>32005</v>
      </c>
      <c r="B5" s="1" t="s">
        <v>20</v>
      </c>
      <c r="C5" s="1">
        <v>49488</v>
      </c>
      <c r="D5" s="1">
        <v>54.1</v>
      </c>
      <c r="E5" s="1">
        <v>24778</v>
      </c>
      <c r="F5" s="1">
        <v>24710</v>
      </c>
      <c r="G5" s="1">
        <v>934</v>
      </c>
      <c r="H5" s="1">
        <v>243</v>
      </c>
      <c r="I5" s="1">
        <v>49488</v>
      </c>
      <c r="J5" s="1">
        <v>1014</v>
      </c>
      <c r="K5" s="1">
        <v>2244</v>
      </c>
      <c r="L5" s="1">
        <v>40307</v>
      </c>
      <c r="M5" s="1">
        <v>4651</v>
      </c>
    </row>
    <row r="6" spans="1:27" ht="15.75" customHeight="1" x14ac:dyDescent="0.15">
      <c r="A6" s="1">
        <v>32007</v>
      </c>
      <c r="B6" s="1" t="s">
        <v>21</v>
      </c>
      <c r="C6" s="1">
        <v>53702</v>
      </c>
      <c r="D6" s="1">
        <v>34</v>
      </c>
      <c r="E6" s="1">
        <v>27658</v>
      </c>
      <c r="F6" s="1">
        <v>26044</v>
      </c>
      <c r="G6" s="1">
        <v>598</v>
      </c>
      <c r="H6" s="1">
        <v>522</v>
      </c>
      <c r="I6" s="1">
        <v>53702</v>
      </c>
      <c r="J6" s="1">
        <v>2849</v>
      </c>
      <c r="K6" s="1">
        <v>6294</v>
      </c>
      <c r="L6" s="1">
        <v>37435</v>
      </c>
      <c r="M6" s="1">
        <v>5917</v>
      </c>
    </row>
    <row r="7" spans="1:27" ht="15.75" customHeight="1" x14ac:dyDescent="0.15">
      <c r="A7" s="1">
        <v>32009</v>
      </c>
      <c r="B7" s="1" t="s">
        <v>22</v>
      </c>
      <c r="C7" s="1">
        <v>729</v>
      </c>
      <c r="D7" s="1">
        <v>53.6</v>
      </c>
      <c r="E7" s="1">
        <v>388</v>
      </c>
      <c r="F7" s="1">
        <v>341</v>
      </c>
      <c r="G7" s="1">
        <v>6</v>
      </c>
      <c r="H7" s="1">
        <v>4</v>
      </c>
      <c r="I7" s="1">
        <v>729</v>
      </c>
      <c r="J7" s="1">
        <v>30</v>
      </c>
      <c r="K7" s="1">
        <v>65</v>
      </c>
      <c r="L7" s="1">
        <v>548</v>
      </c>
      <c r="M7" s="1">
        <v>76</v>
      </c>
    </row>
    <row r="8" spans="1:27" ht="15.75" customHeight="1" x14ac:dyDescent="0.15">
      <c r="A8" s="1">
        <v>32011</v>
      </c>
      <c r="B8" s="1" t="s">
        <v>23</v>
      </c>
      <c r="C8" s="1">
        <v>1855</v>
      </c>
      <c r="D8" s="1">
        <v>44.8</v>
      </c>
      <c r="E8" s="1">
        <v>1020</v>
      </c>
      <c r="F8" s="1">
        <v>835</v>
      </c>
      <c r="G8" s="1">
        <v>4</v>
      </c>
      <c r="H8" s="1">
        <v>3</v>
      </c>
      <c r="I8" s="1">
        <v>1855</v>
      </c>
      <c r="J8" s="1">
        <v>22</v>
      </c>
      <c r="K8" s="1">
        <v>53</v>
      </c>
      <c r="L8" s="1">
        <v>1577</v>
      </c>
      <c r="M8" s="1">
        <v>193</v>
      </c>
    </row>
    <row r="9" spans="1:27" ht="15.75" customHeight="1" x14ac:dyDescent="0.15">
      <c r="A9" s="1">
        <v>32013</v>
      </c>
      <c r="B9" s="1" t="s">
        <v>24</v>
      </c>
      <c r="C9" s="1">
        <v>17285</v>
      </c>
      <c r="D9" s="1">
        <v>36.700000000000003</v>
      </c>
      <c r="E9" s="1">
        <v>8926</v>
      </c>
      <c r="F9" s="1">
        <v>8359</v>
      </c>
      <c r="G9" s="1">
        <v>164</v>
      </c>
      <c r="H9" s="1">
        <v>147</v>
      </c>
      <c r="I9" s="1">
        <v>17285</v>
      </c>
      <c r="J9" s="1">
        <v>697</v>
      </c>
      <c r="K9" s="1">
        <v>2167</v>
      </c>
      <c r="L9" s="1">
        <v>12063</v>
      </c>
      <c r="M9" s="1">
        <v>2020</v>
      </c>
    </row>
    <row r="10" spans="1:27" ht="15.75" customHeight="1" x14ac:dyDescent="0.15">
      <c r="A10" s="1">
        <v>32015</v>
      </c>
      <c r="B10" s="1" t="s">
        <v>25</v>
      </c>
      <c r="C10" s="1">
        <v>5734</v>
      </c>
      <c r="D10" s="1">
        <v>38.700000000000003</v>
      </c>
      <c r="E10" s="1">
        <v>2920</v>
      </c>
      <c r="F10" s="1">
        <v>2814</v>
      </c>
      <c r="G10" s="1">
        <v>27</v>
      </c>
      <c r="H10" s="1">
        <v>12</v>
      </c>
      <c r="I10" s="1">
        <v>5734</v>
      </c>
      <c r="J10" s="1">
        <v>268</v>
      </c>
      <c r="K10" s="1">
        <v>534</v>
      </c>
      <c r="L10" s="1">
        <v>4282</v>
      </c>
      <c r="M10" s="1">
        <v>601</v>
      </c>
    </row>
    <row r="11" spans="1:27" ht="15.75" customHeight="1" x14ac:dyDescent="0.15">
      <c r="A11" s="1">
        <v>32017</v>
      </c>
      <c r="B11" s="1" t="s">
        <v>26</v>
      </c>
      <c r="C11" s="1">
        <v>4499</v>
      </c>
      <c r="D11" s="1">
        <v>43</v>
      </c>
      <c r="E11" s="1">
        <v>2411</v>
      </c>
      <c r="F11" s="1">
        <v>2088</v>
      </c>
      <c r="G11" s="1">
        <v>21</v>
      </c>
      <c r="H11" s="1">
        <v>171</v>
      </c>
      <c r="I11" s="1">
        <v>4499</v>
      </c>
      <c r="J11" s="1">
        <v>29</v>
      </c>
      <c r="K11" s="1">
        <v>108</v>
      </c>
      <c r="L11" s="1">
        <v>3950</v>
      </c>
      <c r="M11" s="1">
        <v>196</v>
      </c>
    </row>
    <row r="12" spans="1:27" ht="15.75" customHeight="1" x14ac:dyDescent="0.15">
      <c r="A12" s="1">
        <v>32019</v>
      </c>
      <c r="B12" s="1" t="s">
        <v>27</v>
      </c>
      <c r="C12" s="1">
        <v>59235</v>
      </c>
      <c r="D12" s="1">
        <v>43</v>
      </c>
      <c r="E12" s="1">
        <v>30069</v>
      </c>
      <c r="F12" s="1">
        <v>29166</v>
      </c>
      <c r="G12" s="1">
        <v>980</v>
      </c>
      <c r="H12" s="1">
        <v>530</v>
      </c>
      <c r="I12" s="1">
        <v>59235</v>
      </c>
      <c r="J12" s="1">
        <v>1368</v>
      </c>
      <c r="K12" s="1">
        <v>4264</v>
      </c>
      <c r="L12" s="1">
        <v>44813</v>
      </c>
      <c r="M12" s="1">
        <v>7084</v>
      </c>
    </row>
    <row r="13" spans="1:27" ht="15.75" customHeight="1" x14ac:dyDescent="0.15">
      <c r="A13" s="1">
        <v>32021</v>
      </c>
      <c r="B13" s="1" t="s">
        <v>28</v>
      </c>
      <c r="C13" s="1">
        <v>4554</v>
      </c>
      <c r="D13" s="1">
        <v>47.3</v>
      </c>
      <c r="E13" s="1">
        <v>2284</v>
      </c>
      <c r="F13" s="1">
        <v>2270</v>
      </c>
      <c r="G13" s="1">
        <v>65</v>
      </c>
      <c r="H13" s="1">
        <v>165</v>
      </c>
      <c r="I13" s="1">
        <v>4554</v>
      </c>
      <c r="J13" s="1">
        <v>785</v>
      </c>
      <c r="K13" s="1">
        <v>169</v>
      </c>
      <c r="L13" s="1">
        <v>3001</v>
      </c>
      <c r="M13" s="1">
        <v>361</v>
      </c>
    </row>
    <row r="14" spans="1:27" ht="15.75" customHeight="1" x14ac:dyDescent="0.15">
      <c r="A14" s="1">
        <v>32023</v>
      </c>
      <c r="B14" s="1" t="s">
        <v>29</v>
      </c>
      <c r="C14" s="1">
        <v>51591</v>
      </c>
      <c r="D14" s="1">
        <v>53.6</v>
      </c>
      <c r="E14" s="1">
        <v>26532</v>
      </c>
      <c r="F14" s="1">
        <v>25059</v>
      </c>
      <c r="G14" s="1">
        <v>1060</v>
      </c>
      <c r="H14" s="1">
        <v>1573</v>
      </c>
      <c r="I14" s="1">
        <v>51591</v>
      </c>
      <c r="J14" s="1">
        <v>809</v>
      </c>
      <c r="K14" s="1">
        <v>3320</v>
      </c>
      <c r="L14" s="1">
        <v>39153</v>
      </c>
      <c r="M14" s="1">
        <v>5431</v>
      </c>
    </row>
    <row r="15" spans="1:27" ht="15.75" customHeight="1" x14ac:dyDescent="0.15">
      <c r="A15" s="1">
        <v>32027</v>
      </c>
      <c r="B15" s="1" t="s">
        <v>30</v>
      </c>
      <c r="C15" s="1">
        <v>6650</v>
      </c>
      <c r="D15" s="1">
        <v>42.5</v>
      </c>
      <c r="E15" s="1">
        <v>4285</v>
      </c>
      <c r="F15" s="1">
        <v>2365</v>
      </c>
      <c r="G15" s="1">
        <v>113</v>
      </c>
      <c r="H15" s="1">
        <v>322</v>
      </c>
      <c r="I15" s="1">
        <v>6650</v>
      </c>
      <c r="J15" s="1">
        <v>233</v>
      </c>
      <c r="K15" s="1">
        <v>922</v>
      </c>
      <c r="L15" s="1">
        <v>4455</v>
      </c>
      <c r="M15" s="1">
        <v>591</v>
      </c>
    </row>
    <row r="16" spans="1:27" ht="15.75" customHeight="1" x14ac:dyDescent="0.15">
      <c r="A16" s="1">
        <v>32029</v>
      </c>
      <c r="B16" s="1" t="s">
        <v>31</v>
      </c>
      <c r="C16" s="1">
        <v>4104</v>
      </c>
      <c r="D16" s="1">
        <v>54.2</v>
      </c>
      <c r="E16" s="1">
        <v>2039</v>
      </c>
      <c r="F16" s="1">
        <v>2065</v>
      </c>
      <c r="G16" s="1">
        <v>67</v>
      </c>
      <c r="H16" s="1">
        <v>24</v>
      </c>
      <c r="I16" s="1">
        <v>4104</v>
      </c>
      <c r="J16" s="1">
        <v>45</v>
      </c>
      <c r="K16" s="1">
        <v>124</v>
      </c>
      <c r="L16" s="1">
        <v>3427</v>
      </c>
      <c r="M16" s="1">
        <v>405</v>
      </c>
    </row>
    <row r="17" spans="1:13" ht="15.75" customHeight="1" x14ac:dyDescent="0.15">
      <c r="A17" s="1">
        <v>32031</v>
      </c>
      <c r="B17" s="1" t="s">
        <v>32</v>
      </c>
      <c r="C17" s="1">
        <v>486492</v>
      </c>
      <c r="D17" s="1">
        <v>38.4</v>
      </c>
      <c r="E17" s="1">
        <v>245885</v>
      </c>
      <c r="F17" s="1">
        <v>240607</v>
      </c>
      <c r="G17" s="1">
        <v>28799</v>
      </c>
      <c r="H17" s="1">
        <v>12295</v>
      </c>
      <c r="I17" s="1">
        <v>486492</v>
      </c>
      <c r="J17" s="1">
        <v>9014</v>
      </c>
      <c r="K17" s="1">
        <v>57961</v>
      </c>
      <c r="L17" s="1">
        <v>311769</v>
      </c>
      <c r="M17" s="1">
        <v>63188</v>
      </c>
    </row>
    <row r="18" spans="1:13" ht="15.75" customHeight="1" x14ac:dyDescent="0.15">
      <c r="A18" s="1">
        <v>32033</v>
      </c>
      <c r="B18" s="1" t="s">
        <v>33</v>
      </c>
      <c r="C18" s="1">
        <v>9080</v>
      </c>
      <c r="D18" s="1">
        <v>40.1</v>
      </c>
      <c r="E18" s="1">
        <v>5202</v>
      </c>
      <c r="F18" s="1">
        <v>3878</v>
      </c>
      <c r="G18" s="1">
        <v>106</v>
      </c>
      <c r="H18" s="1">
        <v>442</v>
      </c>
      <c r="I18" s="1">
        <v>9080</v>
      </c>
      <c r="J18" s="1">
        <v>401</v>
      </c>
      <c r="K18" s="1">
        <v>596</v>
      </c>
      <c r="L18" s="1">
        <v>6746</v>
      </c>
      <c r="M18" s="1">
        <v>765</v>
      </c>
    </row>
    <row r="19" spans="1:13" ht="15.75" customHeight="1" x14ac:dyDescent="0.15">
      <c r="A19" s="1">
        <v>32510</v>
      </c>
      <c r="B19" s="1" t="s">
        <v>34</v>
      </c>
      <c r="C19" s="1">
        <v>58639</v>
      </c>
      <c r="D19" s="1">
        <v>43.9</v>
      </c>
      <c r="E19" s="1">
        <v>30113</v>
      </c>
      <c r="F19" s="1">
        <v>28526</v>
      </c>
      <c r="G19" s="1">
        <v>1416</v>
      </c>
      <c r="H19" s="1">
        <v>1142</v>
      </c>
      <c r="I19" s="1">
        <v>58639</v>
      </c>
      <c r="J19" s="1">
        <v>1459</v>
      </c>
      <c r="K19" s="1">
        <v>7093</v>
      </c>
      <c r="L19" s="1">
        <v>39852</v>
      </c>
      <c r="M19" s="1">
        <v>7542</v>
      </c>
    </row>
  </sheetData>
  <hyperlinks>
    <hyperlink ref="N2" r:id="rId1" xr:uid="{00000000-0004-0000-0100-000000000000}"/>
  </hyperlinks>
  <pageMargins left="0.7" right="0.7" top="0.75" bottom="0.75" header="0.3" footer="0.3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2.6640625" defaultRowHeight="15.75" customHeight="1" x14ac:dyDescent="0.15"/>
  <cols>
    <col min="1" max="1" width="11.6640625" customWidth="1"/>
    <col min="2" max="2" width="23.1640625" customWidth="1"/>
    <col min="8" max="27" width="16.5" customWidth="1"/>
  </cols>
  <sheetData>
    <row r="1" spans="1:27" ht="15.75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15">
      <c r="A2" s="1" t="s">
        <v>4</v>
      </c>
      <c r="B2" s="1" t="s">
        <v>5</v>
      </c>
      <c r="C2" s="1" t="s">
        <v>47</v>
      </c>
      <c r="D2" s="1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55</v>
      </c>
      <c r="L2" s="3" t="s">
        <v>56</v>
      </c>
      <c r="M2" s="3" t="s">
        <v>57</v>
      </c>
      <c r="N2" s="4" t="s">
        <v>58</v>
      </c>
    </row>
    <row r="3" spans="1:27" ht="15.75" customHeight="1" x14ac:dyDescent="0.15">
      <c r="A3" s="1">
        <v>32001</v>
      </c>
      <c r="B3" s="1" t="s">
        <v>18</v>
      </c>
      <c r="C3" s="1">
        <v>24022</v>
      </c>
      <c r="D3" s="1">
        <v>38.9</v>
      </c>
      <c r="E3" s="1">
        <v>12177</v>
      </c>
      <c r="F3" s="1">
        <v>11845</v>
      </c>
      <c r="G3" s="1">
        <v>586</v>
      </c>
      <c r="H3" s="1">
        <v>606</v>
      </c>
      <c r="I3" s="1">
        <v>24022</v>
      </c>
      <c r="J3" s="1">
        <v>1058</v>
      </c>
      <c r="K3" s="1">
        <v>407</v>
      </c>
      <c r="L3" s="1">
        <v>20327</v>
      </c>
      <c r="M3" s="1">
        <v>987</v>
      </c>
    </row>
    <row r="4" spans="1:27" ht="15.75" customHeight="1" x14ac:dyDescent="0.15">
      <c r="A4" s="1">
        <v>32003</v>
      </c>
      <c r="B4" s="1" t="s">
        <v>19</v>
      </c>
      <c r="C4" s="1">
        <v>2112436</v>
      </c>
      <c r="D4" s="1">
        <v>36.9</v>
      </c>
      <c r="E4" s="1">
        <v>1056002</v>
      </c>
      <c r="F4" s="1">
        <v>1056434</v>
      </c>
      <c r="G4" s="1">
        <v>203606</v>
      </c>
      <c r="H4" s="1">
        <v>237543</v>
      </c>
      <c r="I4" s="1">
        <v>2112436</v>
      </c>
      <c r="J4" s="1">
        <v>13399</v>
      </c>
      <c r="K4" s="1">
        <v>235631</v>
      </c>
      <c r="L4" s="1">
        <v>1301043</v>
      </c>
      <c r="M4" s="1">
        <v>105631</v>
      </c>
    </row>
    <row r="5" spans="1:27" ht="15.75" customHeight="1" x14ac:dyDescent="0.15">
      <c r="A5" s="1">
        <v>32005</v>
      </c>
      <c r="B5" s="1" t="s">
        <v>20</v>
      </c>
      <c r="C5" s="1">
        <v>47632</v>
      </c>
      <c r="D5" s="1">
        <v>50.8</v>
      </c>
      <c r="E5" s="1">
        <v>24047</v>
      </c>
      <c r="F5" s="1">
        <v>23585</v>
      </c>
      <c r="G5" s="1">
        <v>708</v>
      </c>
      <c r="H5" s="1">
        <v>288</v>
      </c>
      <c r="I5" s="1">
        <v>47632</v>
      </c>
      <c r="J5" s="1">
        <v>961</v>
      </c>
      <c r="K5" s="1">
        <v>1972</v>
      </c>
      <c r="L5" s="1">
        <v>42035</v>
      </c>
      <c r="M5" s="1">
        <v>1523</v>
      </c>
    </row>
    <row r="6" spans="1:27" ht="15.75" customHeight="1" x14ac:dyDescent="0.15">
      <c r="A6" s="1">
        <v>32007</v>
      </c>
      <c r="B6" s="1" t="s">
        <v>21</v>
      </c>
      <c r="C6" s="1">
        <v>52377</v>
      </c>
      <c r="D6" s="1">
        <v>34.1</v>
      </c>
      <c r="E6" s="1">
        <v>27185</v>
      </c>
      <c r="F6" s="1">
        <v>25192</v>
      </c>
      <c r="G6" s="1">
        <v>523</v>
      </c>
      <c r="H6" s="1">
        <v>507</v>
      </c>
      <c r="I6" s="1">
        <v>52377</v>
      </c>
      <c r="J6" s="1">
        <v>2922</v>
      </c>
      <c r="K6" s="1">
        <v>1577</v>
      </c>
      <c r="L6" s="1">
        <v>45752</v>
      </c>
      <c r="M6" s="1">
        <v>975</v>
      </c>
    </row>
    <row r="7" spans="1:27" ht="15.75" customHeight="1" x14ac:dyDescent="0.15">
      <c r="A7" s="1">
        <v>32009</v>
      </c>
      <c r="B7" s="1" t="s">
        <v>22</v>
      </c>
      <c r="C7" s="1">
        <v>1102</v>
      </c>
      <c r="D7" s="1">
        <v>48</v>
      </c>
      <c r="E7" s="1">
        <v>485</v>
      </c>
      <c r="F7" s="1">
        <v>617</v>
      </c>
      <c r="G7" s="1">
        <v>0</v>
      </c>
      <c r="H7" s="1">
        <v>8</v>
      </c>
      <c r="I7" s="1">
        <v>1102</v>
      </c>
      <c r="J7" s="1">
        <v>26</v>
      </c>
      <c r="K7" s="1">
        <v>68</v>
      </c>
      <c r="L7" s="1">
        <v>991</v>
      </c>
      <c r="M7" s="1">
        <v>9</v>
      </c>
    </row>
    <row r="8" spans="1:27" ht="15.75" customHeight="1" x14ac:dyDescent="0.15">
      <c r="A8" s="1">
        <v>32011</v>
      </c>
      <c r="B8" s="1" t="s">
        <v>23</v>
      </c>
      <c r="C8" s="1">
        <v>1728</v>
      </c>
      <c r="D8" s="1">
        <v>47.3</v>
      </c>
      <c r="E8" s="1">
        <v>849</v>
      </c>
      <c r="F8" s="1">
        <v>879</v>
      </c>
      <c r="G8" s="1">
        <v>0</v>
      </c>
      <c r="H8" s="1">
        <v>2</v>
      </c>
      <c r="I8" s="1">
        <v>1728</v>
      </c>
      <c r="J8" s="1">
        <v>29</v>
      </c>
      <c r="K8" s="1">
        <v>0</v>
      </c>
      <c r="L8" s="1">
        <v>1697</v>
      </c>
      <c r="M8" s="1">
        <v>0</v>
      </c>
    </row>
    <row r="9" spans="1:27" ht="15.75" customHeight="1" x14ac:dyDescent="0.15">
      <c r="A9" s="1">
        <v>32013</v>
      </c>
      <c r="B9" s="1" t="s">
        <v>24</v>
      </c>
      <c r="C9" s="1">
        <v>17088</v>
      </c>
      <c r="D9" s="1">
        <v>35.6</v>
      </c>
      <c r="E9" s="1">
        <v>8879</v>
      </c>
      <c r="F9" s="1">
        <v>8209</v>
      </c>
      <c r="G9" s="1">
        <v>43</v>
      </c>
      <c r="H9" s="1">
        <v>110</v>
      </c>
      <c r="I9" s="1">
        <v>17088</v>
      </c>
      <c r="J9" s="1">
        <v>800</v>
      </c>
      <c r="K9" s="1">
        <v>623</v>
      </c>
      <c r="L9" s="1">
        <v>15063</v>
      </c>
      <c r="M9" s="1">
        <v>446</v>
      </c>
    </row>
    <row r="10" spans="1:27" ht="15.75" customHeight="1" x14ac:dyDescent="0.15">
      <c r="A10" s="1">
        <v>32015</v>
      </c>
      <c r="B10" s="1" t="s">
        <v>25</v>
      </c>
      <c r="C10" s="1">
        <v>5887</v>
      </c>
      <c r="D10" s="1">
        <v>37.799999999999997</v>
      </c>
      <c r="E10" s="1">
        <v>3276</v>
      </c>
      <c r="F10" s="1">
        <v>2611</v>
      </c>
      <c r="G10" s="1">
        <v>3</v>
      </c>
      <c r="H10" s="1">
        <v>3</v>
      </c>
      <c r="I10" s="1">
        <v>5887</v>
      </c>
      <c r="J10" s="1">
        <v>422</v>
      </c>
      <c r="K10" s="1">
        <v>120</v>
      </c>
      <c r="L10" s="1">
        <v>5250</v>
      </c>
      <c r="M10" s="1">
        <v>60</v>
      </c>
    </row>
    <row r="11" spans="1:27" ht="15.75" customHeight="1" x14ac:dyDescent="0.15">
      <c r="A11" s="1">
        <v>32017</v>
      </c>
      <c r="B11" s="1" t="s">
        <v>26</v>
      </c>
      <c r="C11" s="1">
        <v>5203</v>
      </c>
      <c r="D11" s="1">
        <v>41.6</v>
      </c>
      <c r="E11" s="1">
        <v>2780</v>
      </c>
      <c r="F11" s="1">
        <v>2423</v>
      </c>
      <c r="G11" s="1">
        <v>53</v>
      </c>
      <c r="H11" s="1">
        <v>163</v>
      </c>
      <c r="I11" s="1">
        <v>5203</v>
      </c>
      <c r="J11" s="1">
        <v>166</v>
      </c>
      <c r="K11" s="1">
        <v>235</v>
      </c>
      <c r="L11" s="1">
        <v>4541</v>
      </c>
      <c r="M11" s="1">
        <v>45</v>
      </c>
    </row>
    <row r="12" spans="1:27" ht="15.75" customHeight="1" x14ac:dyDescent="0.15">
      <c r="A12" s="1">
        <v>32019</v>
      </c>
      <c r="B12" s="1" t="s">
        <v>27</v>
      </c>
      <c r="C12" s="1">
        <v>52303</v>
      </c>
      <c r="D12" s="1">
        <v>43.8</v>
      </c>
      <c r="E12" s="1">
        <v>26400</v>
      </c>
      <c r="F12" s="1">
        <v>25903</v>
      </c>
      <c r="G12" s="1">
        <v>571</v>
      </c>
      <c r="H12" s="1">
        <v>545</v>
      </c>
      <c r="I12" s="1">
        <v>52303</v>
      </c>
      <c r="J12" s="1">
        <v>1248</v>
      </c>
      <c r="K12" s="1">
        <v>2777</v>
      </c>
      <c r="L12" s="1">
        <v>44910</v>
      </c>
      <c r="M12" s="1">
        <v>2143</v>
      </c>
    </row>
    <row r="13" spans="1:27" ht="15.75" customHeight="1" x14ac:dyDescent="0.15">
      <c r="A13" s="1">
        <v>32021</v>
      </c>
      <c r="B13" s="1" t="s">
        <v>28</v>
      </c>
      <c r="C13" s="1">
        <v>4471</v>
      </c>
      <c r="D13" s="1">
        <v>46.7</v>
      </c>
      <c r="E13" s="1">
        <v>2165</v>
      </c>
      <c r="F13" s="1">
        <v>2306</v>
      </c>
      <c r="G13" s="1">
        <v>206</v>
      </c>
      <c r="H13" s="1">
        <v>35</v>
      </c>
      <c r="I13" s="1">
        <v>4471</v>
      </c>
      <c r="J13" s="1">
        <v>1179</v>
      </c>
      <c r="K13" s="1">
        <v>90</v>
      </c>
      <c r="L13" s="1">
        <v>2764</v>
      </c>
      <c r="M13" s="1">
        <v>197</v>
      </c>
    </row>
    <row r="14" spans="1:27" ht="15.75" customHeight="1" x14ac:dyDescent="0.15">
      <c r="A14" s="1">
        <v>32023</v>
      </c>
      <c r="B14" s="1" t="s">
        <v>29</v>
      </c>
      <c r="C14" s="1">
        <v>43296</v>
      </c>
      <c r="D14" s="1">
        <v>51.6</v>
      </c>
      <c r="E14" s="1">
        <v>21789</v>
      </c>
      <c r="F14" s="1">
        <v>21507</v>
      </c>
      <c r="G14" s="1">
        <v>733</v>
      </c>
      <c r="H14" s="1">
        <v>1340</v>
      </c>
      <c r="I14" s="1">
        <v>43296</v>
      </c>
      <c r="J14" s="1">
        <v>737</v>
      </c>
      <c r="K14" s="1">
        <v>3327</v>
      </c>
      <c r="L14" s="1">
        <v>35881</v>
      </c>
      <c r="M14" s="1">
        <v>1114</v>
      </c>
    </row>
    <row r="15" spans="1:27" ht="15.75" customHeight="1" x14ac:dyDescent="0.15">
      <c r="A15" s="1">
        <v>32027</v>
      </c>
      <c r="B15" s="1" t="s">
        <v>30</v>
      </c>
      <c r="C15" s="1">
        <v>6661</v>
      </c>
      <c r="D15" s="1">
        <v>43.1</v>
      </c>
      <c r="E15" s="1">
        <v>4337</v>
      </c>
      <c r="F15" s="1">
        <v>2324</v>
      </c>
      <c r="G15" s="1">
        <v>91</v>
      </c>
      <c r="H15" s="1">
        <v>324</v>
      </c>
      <c r="I15" s="1">
        <v>6661</v>
      </c>
      <c r="J15" s="1">
        <v>219</v>
      </c>
      <c r="K15" s="1">
        <v>332</v>
      </c>
      <c r="L15" s="1">
        <v>5539</v>
      </c>
      <c r="M15" s="1">
        <v>126</v>
      </c>
    </row>
    <row r="16" spans="1:27" ht="15.75" customHeight="1" x14ac:dyDescent="0.15">
      <c r="A16" s="1">
        <v>32029</v>
      </c>
      <c r="B16" s="1" t="s">
        <v>31</v>
      </c>
      <c r="C16" s="1">
        <v>3891</v>
      </c>
      <c r="D16" s="1">
        <v>54.7</v>
      </c>
      <c r="E16" s="1">
        <v>1894</v>
      </c>
      <c r="F16" s="1">
        <v>1997</v>
      </c>
      <c r="G16" s="1">
        <v>73</v>
      </c>
      <c r="H16" s="1">
        <v>28</v>
      </c>
      <c r="I16" s="1">
        <v>3891</v>
      </c>
      <c r="J16" s="1">
        <v>53</v>
      </c>
      <c r="K16" s="1">
        <v>17</v>
      </c>
      <c r="L16" s="1">
        <v>3619</v>
      </c>
      <c r="M16" s="1">
        <v>101</v>
      </c>
    </row>
    <row r="17" spans="1:13" ht="15.75" customHeight="1" x14ac:dyDescent="0.15">
      <c r="A17" s="1">
        <v>32031</v>
      </c>
      <c r="B17" s="1" t="s">
        <v>32</v>
      </c>
      <c r="C17" s="1">
        <v>445551</v>
      </c>
      <c r="D17" s="1">
        <v>38</v>
      </c>
      <c r="E17" s="1">
        <v>224212</v>
      </c>
      <c r="F17" s="1">
        <v>221339</v>
      </c>
      <c r="G17" s="1">
        <v>23906</v>
      </c>
      <c r="H17" s="1">
        <v>10103</v>
      </c>
      <c r="I17" s="1">
        <v>445551</v>
      </c>
      <c r="J17" s="1">
        <v>7219</v>
      </c>
      <c r="K17" s="1">
        <v>27714</v>
      </c>
      <c r="L17" s="1">
        <v>354735</v>
      </c>
      <c r="M17" s="1">
        <v>19185</v>
      </c>
    </row>
    <row r="18" spans="1:13" ht="15.75" customHeight="1" x14ac:dyDescent="0.15">
      <c r="A18" s="1">
        <v>32033</v>
      </c>
      <c r="B18" s="1" t="s">
        <v>33</v>
      </c>
      <c r="C18" s="1">
        <v>9858</v>
      </c>
      <c r="D18" s="1">
        <v>39.4</v>
      </c>
      <c r="E18" s="1">
        <v>5820</v>
      </c>
      <c r="F18" s="1">
        <v>4038</v>
      </c>
      <c r="G18" s="1">
        <v>74</v>
      </c>
      <c r="H18" s="1">
        <v>477</v>
      </c>
      <c r="I18" s="1">
        <v>9858</v>
      </c>
      <c r="J18" s="1">
        <v>623</v>
      </c>
      <c r="K18" s="1">
        <v>118</v>
      </c>
      <c r="L18" s="1">
        <v>8465</v>
      </c>
      <c r="M18" s="1">
        <v>84</v>
      </c>
    </row>
    <row r="19" spans="1:13" ht="15.75" customHeight="1" x14ac:dyDescent="0.15">
      <c r="A19" s="1">
        <v>32510</v>
      </c>
      <c r="B19" s="1" t="s">
        <v>34</v>
      </c>
      <c r="C19" s="1">
        <v>54219</v>
      </c>
      <c r="D19" s="1">
        <v>43</v>
      </c>
      <c r="E19" s="1">
        <v>27794</v>
      </c>
      <c r="F19" s="1">
        <v>26425</v>
      </c>
      <c r="G19" s="1">
        <v>1326</v>
      </c>
      <c r="H19" s="1">
        <v>931</v>
      </c>
      <c r="I19" s="1">
        <v>54219</v>
      </c>
      <c r="J19" s="1">
        <v>1365</v>
      </c>
      <c r="K19" s="1">
        <v>4969</v>
      </c>
      <c r="L19" s="1">
        <v>43841</v>
      </c>
      <c r="M19" s="1">
        <v>1709</v>
      </c>
    </row>
  </sheetData>
  <hyperlinks>
    <hyperlink ref="N2" r:id="rId1" xr:uid="{00000000-0004-0000-0200-000000000000}"/>
  </hyperlinks>
  <pageMargins left="0.7" right="0.7" top="0.75" bottom="0.75" header="0.3" footer="0.3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2.6640625" defaultRowHeight="15.75" customHeight="1" x14ac:dyDescent="0.15"/>
  <cols>
    <col min="1" max="1" width="11.6640625" customWidth="1"/>
    <col min="2" max="2" width="23.1640625" customWidth="1"/>
    <col min="8" max="27" width="16.5" customWidth="1"/>
  </cols>
  <sheetData>
    <row r="1" spans="1:27" ht="15.75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15">
      <c r="A2" s="1" t="s">
        <v>4</v>
      </c>
      <c r="B2" s="1" t="s">
        <v>5</v>
      </c>
      <c r="C2" s="1" t="s">
        <v>47</v>
      </c>
      <c r="D2" s="1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55</v>
      </c>
      <c r="L2" s="3" t="s">
        <v>56</v>
      </c>
      <c r="M2" s="3" t="s">
        <v>57</v>
      </c>
      <c r="N2" s="4" t="s">
        <v>59</v>
      </c>
    </row>
    <row r="3" spans="1:27" ht="15.75" customHeight="1" x14ac:dyDescent="0.15">
      <c r="A3" s="1">
        <v>32003</v>
      </c>
      <c r="B3" s="1" t="s">
        <v>19</v>
      </c>
      <c r="C3" s="1">
        <v>2204079</v>
      </c>
      <c r="D3" s="1">
        <v>37.299999999999997</v>
      </c>
      <c r="E3" s="1">
        <v>1099857</v>
      </c>
      <c r="F3" s="1">
        <v>1104222</v>
      </c>
      <c r="G3" s="1">
        <v>224757</v>
      </c>
      <c r="H3" s="1">
        <v>258429</v>
      </c>
      <c r="I3" s="1">
        <v>2204079</v>
      </c>
      <c r="J3" s="1">
        <v>16275</v>
      </c>
      <c r="K3" s="1">
        <v>283503</v>
      </c>
      <c r="L3" s="1">
        <v>1296594</v>
      </c>
      <c r="M3" s="1">
        <v>108141</v>
      </c>
    </row>
    <row r="4" spans="1:27" ht="15.75" customHeight="1" x14ac:dyDescent="0.15">
      <c r="A4" s="1">
        <v>32031</v>
      </c>
      <c r="B4" s="1" t="s">
        <v>32</v>
      </c>
      <c r="C4" s="1">
        <v>460587</v>
      </c>
      <c r="D4" s="1">
        <v>38.4</v>
      </c>
      <c r="E4" s="1">
        <v>231859</v>
      </c>
      <c r="F4" s="1">
        <v>228728</v>
      </c>
      <c r="G4" s="1">
        <v>25117</v>
      </c>
      <c r="H4" s="1">
        <v>10492</v>
      </c>
      <c r="I4" s="1">
        <v>460587</v>
      </c>
      <c r="J4" s="1">
        <v>8417</v>
      </c>
      <c r="K4" s="1">
        <v>32476</v>
      </c>
      <c r="L4" s="1">
        <v>358987</v>
      </c>
      <c r="M4" s="1">
        <v>22170</v>
      </c>
    </row>
    <row r="5" spans="1:27" ht="15.75" customHeight="1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27" ht="15.75" customHeigh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27" ht="15.75" customHeight="1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27" ht="15.75" customHeight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27" ht="15.7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27" ht="15.7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27" ht="15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27" ht="15.7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27" ht="15.7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27" ht="15.7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27" ht="15.7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27" ht="15.7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</sheetData>
  <hyperlinks>
    <hyperlink ref="N2" r:id="rId1" xr:uid="{00000000-0004-0000-0300-000000000000}"/>
  </hyperlinks>
  <pageMargins left="0.7" right="0.7" top="0.75" bottom="0.75" header="0.3" footer="0.3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2.6640625" defaultRowHeight="15.75" customHeight="1" x14ac:dyDescent="0.15"/>
  <cols>
    <col min="1" max="1" width="11.6640625" customWidth="1"/>
    <col min="2" max="2" width="23.1640625" customWidth="1"/>
    <col min="8" max="27" width="16.5" customWidth="1"/>
  </cols>
  <sheetData>
    <row r="1" spans="1:27" ht="15.75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15">
      <c r="A2" s="1" t="s">
        <v>4</v>
      </c>
      <c r="B2" s="1" t="s">
        <v>5</v>
      </c>
      <c r="C2" s="1" t="s">
        <v>47</v>
      </c>
      <c r="D2" s="1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55</v>
      </c>
      <c r="L2" s="3" t="s">
        <v>56</v>
      </c>
      <c r="M2" s="3" t="s">
        <v>57</v>
      </c>
      <c r="N2" s="4" t="s">
        <v>60</v>
      </c>
    </row>
    <row r="3" spans="1:27" ht="15.75" customHeight="1" x14ac:dyDescent="0.15">
      <c r="A3" s="1">
        <v>32001</v>
      </c>
      <c r="B3" s="1" t="s">
        <v>18</v>
      </c>
      <c r="C3" s="1">
        <v>25409</v>
      </c>
      <c r="D3" s="1">
        <v>39.700000000000003</v>
      </c>
      <c r="E3" s="1">
        <v>13112</v>
      </c>
      <c r="F3" s="1">
        <v>12297</v>
      </c>
      <c r="G3" s="1">
        <v>716</v>
      </c>
      <c r="H3" s="1">
        <v>484</v>
      </c>
      <c r="I3" s="1">
        <v>25409</v>
      </c>
      <c r="J3" s="1">
        <v>1031</v>
      </c>
      <c r="K3" s="1">
        <v>1273</v>
      </c>
      <c r="L3" s="1">
        <v>19628</v>
      </c>
      <c r="M3" s="1">
        <v>2231</v>
      </c>
    </row>
    <row r="4" spans="1:27" ht="15.75" customHeight="1" x14ac:dyDescent="0.15">
      <c r="A4" s="1">
        <v>32003</v>
      </c>
      <c r="B4" s="1" t="s">
        <v>19</v>
      </c>
      <c r="C4" s="1">
        <v>2265926</v>
      </c>
      <c r="D4" s="1">
        <v>37.799999999999997</v>
      </c>
      <c r="E4" s="1">
        <v>1137581</v>
      </c>
      <c r="F4" s="1">
        <v>1128345</v>
      </c>
      <c r="G4" s="1">
        <v>230540</v>
      </c>
      <c r="H4" s="1">
        <v>272038</v>
      </c>
      <c r="I4" s="1">
        <v>2265926</v>
      </c>
      <c r="J4" s="1">
        <v>23822</v>
      </c>
      <c r="K4" s="1">
        <v>285708</v>
      </c>
      <c r="L4" s="1">
        <v>1130071</v>
      </c>
      <c r="M4" s="1">
        <v>305978</v>
      </c>
    </row>
    <row r="5" spans="1:27" ht="15.75" customHeight="1" x14ac:dyDescent="0.15">
      <c r="A5" s="1">
        <v>32005</v>
      </c>
      <c r="B5" s="1" t="s">
        <v>20</v>
      </c>
      <c r="C5" s="1">
        <v>49476</v>
      </c>
      <c r="D5" s="1">
        <v>53.5</v>
      </c>
      <c r="E5" s="1">
        <v>25063</v>
      </c>
      <c r="F5" s="1">
        <v>24413</v>
      </c>
      <c r="G5" s="1">
        <v>1057</v>
      </c>
      <c r="H5" s="1">
        <v>332</v>
      </c>
      <c r="I5" s="1">
        <v>49476</v>
      </c>
      <c r="J5" s="1">
        <v>722</v>
      </c>
      <c r="K5" s="1">
        <v>2327</v>
      </c>
      <c r="L5" s="1">
        <v>41603</v>
      </c>
      <c r="M5" s="1">
        <v>3342</v>
      </c>
    </row>
    <row r="6" spans="1:27" ht="15.75" customHeight="1" x14ac:dyDescent="0.15">
      <c r="A6" s="1">
        <v>32007</v>
      </c>
      <c r="B6" s="1" t="s">
        <v>21</v>
      </c>
      <c r="C6" s="1">
        <v>53600</v>
      </c>
      <c r="D6" s="1">
        <v>34.9</v>
      </c>
      <c r="E6" s="1">
        <v>28070</v>
      </c>
      <c r="F6" s="1">
        <v>25530</v>
      </c>
      <c r="G6" s="1">
        <v>700</v>
      </c>
      <c r="H6" s="1">
        <v>464</v>
      </c>
      <c r="I6" s="1">
        <v>53600</v>
      </c>
      <c r="J6" s="1">
        <v>2703</v>
      </c>
      <c r="K6" s="1">
        <v>4457</v>
      </c>
      <c r="L6" s="1">
        <v>38092</v>
      </c>
      <c r="M6" s="1">
        <v>7091</v>
      </c>
    </row>
    <row r="7" spans="1:27" ht="15.75" customHeight="1" x14ac:dyDescent="0.15">
      <c r="A7" s="1">
        <v>32009</v>
      </c>
      <c r="B7" s="1" t="s">
        <v>22</v>
      </c>
      <c r="C7" s="1">
        <v>980</v>
      </c>
      <c r="D7" s="1">
        <v>55</v>
      </c>
      <c r="E7" s="1">
        <v>529</v>
      </c>
      <c r="F7" s="1">
        <v>451</v>
      </c>
      <c r="G7" s="1">
        <v>19</v>
      </c>
      <c r="H7" s="1">
        <v>2</v>
      </c>
      <c r="I7" s="1">
        <v>980</v>
      </c>
      <c r="J7" s="1">
        <v>13</v>
      </c>
      <c r="K7" s="1">
        <v>0</v>
      </c>
      <c r="L7" s="1">
        <v>881</v>
      </c>
      <c r="M7" s="1">
        <v>65</v>
      </c>
    </row>
    <row r="8" spans="1:27" ht="15.75" customHeight="1" x14ac:dyDescent="0.15">
      <c r="A8" s="1">
        <v>32011</v>
      </c>
      <c r="B8" s="1" t="s">
        <v>23</v>
      </c>
      <c r="C8" s="1">
        <v>1622</v>
      </c>
      <c r="D8" s="1">
        <v>48.4</v>
      </c>
      <c r="E8" s="1">
        <v>818</v>
      </c>
      <c r="F8" s="1">
        <v>804</v>
      </c>
      <c r="G8" s="1">
        <v>9</v>
      </c>
      <c r="H8" s="1">
        <v>1</v>
      </c>
      <c r="I8" s="1">
        <v>1622</v>
      </c>
      <c r="J8" s="1">
        <v>86</v>
      </c>
      <c r="K8" s="1">
        <v>57</v>
      </c>
      <c r="L8" s="1">
        <v>1469</v>
      </c>
      <c r="M8" s="1">
        <v>0</v>
      </c>
    </row>
    <row r="9" spans="1:27" ht="15.75" customHeight="1" x14ac:dyDescent="0.15">
      <c r="A9" s="1">
        <v>32013</v>
      </c>
      <c r="B9" s="1" t="s">
        <v>24</v>
      </c>
      <c r="C9" s="1">
        <v>17266</v>
      </c>
      <c r="D9" s="1">
        <v>37</v>
      </c>
      <c r="E9" s="1">
        <v>9009</v>
      </c>
      <c r="F9" s="1">
        <v>8257</v>
      </c>
      <c r="G9" s="1">
        <v>243</v>
      </c>
      <c r="H9" s="1">
        <v>131</v>
      </c>
      <c r="I9" s="1">
        <v>17266</v>
      </c>
      <c r="J9" s="1">
        <v>669</v>
      </c>
      <c r="K9" s="1">
        <v>1569</v>
      </c>
      <c r="L9" s="1">
        <v>13091</v>
      </c>
      <c r="M9" s="1">
        <v>1522</v>
      </c>
    </row>
    <row r="10" spans="1:27" ht="15.75" customHeight="1" x14ac:dyDescent="0.15">
      <c r="A10" s="1">
        <v>32015</v>
      </c>
      <c r="B10" s="1" t="s">
        <v>25</v>
      </c>
      <c r="C10" s="1">
        <v>5728</v>
      </c>
      <c r="D10" s="1">
        <v>40</v>
      </c>
      <c r="E10" s="1">
        <v>3109</v>
      </c>
      <c r="F10" s="1">
        <v>2619</v>
      </c>
      <c r="G10" s="1">
        <v>23</v>
      </c>
      <c r="H10" s="1">
        <v>203</v>
      </c>
      <c r="I10" s="1">
        <v>5728</v>
      </c>
      <c r="J10" s="1">
        <v>236</v>
      </c>
      <c r="K10" s="1">
        <v>35</v>
      </c>
      <c r="L10" s="1">
        <v>4858</v>
      </c>
      <c r="M10" s="1">
        <v>373</v>
      </c>
    </row>
    <row r="11" spans="1:27" ht="15.75" customHeight="1" x14ac:dyDescent="0.15">
      <c r="A11" s="1">
        <v>32017</v>
      </c>
      <c r="B11" s="1" t="s">
        <v>26</v>
      </c>
      <c r="C11" s="1">
        <v>4507</v>
      </c>
      <c r="D11" s="1">
        <v>40.6</v>
      </c>
      <c r="E11" s="1">
        <v>2516</v>
      </c>
      <c r="F11" s="1">
        <v>1991</v>
      </c>
      <c r="G11" s="1">
        <v>0</v>
      </c>
      <c r="H11" s="1">
        <v>204</v>
      </c>
      <c r="I11" s="1">
        <v>4507</v>
      </c>
      <c r="J11" s="1">
        <v>164</v>
      </c>
      <c r="K11" s="1">
        <v>56</v>
      </c>
      <c r="L11" s="1">
        <v>3808</v>
      </c>
      <c r="M11" s="1">
        <v>271</v>
      </c>
    </row>
    <row r="12" spans="1:27" ht="15.75" customHeight="1" x14ac:dyDescent="0.15">
      <c r="A12" s="1">
        <v>32019</v>
      </c>
      <c r="B12" s="1" t="s">
        <v>27</v>
      </c>
      <c r="C12" s="1">
        <v>59435</v>
      </c>
      <c r="D12" s="1">
        <v>43.2</v>
      </c>
      <c r="E12" s="1">
        <v>30802</v>
      </c>
      <c r="F12" s="1">
        <v>28633</v>
      </c>
      <c r="G12" s="1">
        <v>860</v>
      </c>
      <c r="H12" s="1">
        <v>563</v>
      </c>
      <c r="I12" s="1">
        <v>59435</v>
      </c>
      <c r="J12" s="1">
        <v>1472</v>
      </c>
      <c r="K12" s="1">
        <v>3888</v>
      </c>
      <c r="L12" s="1">
        <v>46703</v>
      </c>
      <c r="M12" s="1">
        <v>5901</v>
      </c>
    </row>
    <row r="13" spans="1:27" ht="15.75" customHeight="1" x14ac:dyDescent="0.15">
      <c r="A13" s="1">
        <v>32021</v>
      </c>
      <c r="B13" s="1" t="s">
        <v>28</v>
      </c>
      <c r="C13" s="1">
        <v>4568</v>
      </c>
      <c r="D13" s="1">
        <v>39.799999999999997</v>
      </c>
      <c r="E13" s="1">
        <v>2124</v>
      </c>
      <c r="F13" s="1">
        <v>2444</v>
      </c>
      <c r="G13" s="1">
        <v>0</v>
      </c>
      <c r="H13" s="1">
        <v>194</v>
      </c>
      <c r="I13" s="1">
        <v>4568</v>
      </c>
      <c r="J13" s="1">
        <v>978</v>
      </c>
      <c r="K13" s="1">
        <v>139</v>
      </c>
      <c r="L13" s="1">
        <v>2965</v>
      </c>
      <c r="M13" s="1">
        <v>292</v>
      </c>
    </row>
    <row r="14" spans="1:27" ht="15.75" customHeight="1" x14ac:dyDescent="0.15">
      <c r="A14" s="1">
        <v>32023</v>
      </c>
      <c r="B14" s="1" t="s">
        <v>29</v>
      </c>
      <c r="C14" s="1">
        <v>51698</v>
      </c>
      <c r="D14" s="1">
        <v>52.9</v>
      </c>
      <c r="E14" s="1">
        <v>26290</v>
      </c>
      <c r="F14" s="1">
        <v>25408</v>
      </c>
      <c r="G14" s="1">
        <v>1005</v>
      </c>
      <c r="H14" s="1">
        <v>1228</v>
      </c>
      <c r="I14" s="1">
        <v>51698</v>
      </c>
      <c r="J14" s="1">
        <v>590</v>
      </c>
      <c r="K14" s="1">
        <v>3562</v>
      </c>
      <c r="L14" s="1">
        <v>39991</v>
      </c>
      <c r="M14" s="1">
        <v>5091</v>
      </c>
    </row>
    <row r="15" spans="1:27" ht="15.75" customHeight="1" x14ac:dyDescent="0.15">
      <c r="A15" s="1">
        <v>32027</v>
      </c>
      <c r="B15" s="1" t="s">
        <v>30</v>
      </c>
      <c r="C15" s="1">
        <v>6587</v>
      </c>
      <c r="D15" s="1">
        <v>40.4</v>
      </c>
      <c r="E15" s="1">
        <v>4293</v>
      </c>
      <c r="F15" s="1">
        <v>2294</v>
      </c>
      <c r="G15" s="1">
        <v>101</v>
      </c>
      <c r="H15" s="1">
        <v>263</v>
      </c>
      <c r="I15" s="1">
        <v>6587</v>
      </c>
      <c r="J15" s="1">
        <v>217</v>
      </c>
      <c r="K15" s="1">
        <v>556</v>
      </c>
      <c r="L15" s="1">
        <v>4880</v>
      </c>
      <c r="M15" s="1">
        <v>569</v>
      </c>
    </row>
    <row r="16" spans="1:27" ht="15.75" customHeight="1" x14ac:dyDescent="0.15">
      <c r="A16" s="1">
        <v>32029</v>
      </c>
      <c r="B16" s="1" t="s">
        <v>31</v>
      </c>
      <c r="C16" s="1">
        <v>4095</v>
      </c>
      <c r="D16" s="1">
        <v>55.7</v>
      </c>
      <c r="E16" s="1">
        <v>2149</v>
      </c>
      <c r="F16" s="1">
        <v>1946</v>
      </c>
      <c r="G16" s="1">
        <v>45</v>
      </c>
      <c r="H16" s="1">
        <v>81</v>
      </c>
      <c r="I16" s="1">
        <v>4095</v>
      </c>
      <c r="J16" s="1">
        <v>4</v>
      </c>
      <c r="K16" s="1">
        <v>28</v>
      </c>
      <c r="L16" s="1">
        <v>3433</v>
      </c>
      <c r="M16" s="1">
        <v>504</v>
      </c>
    </row>
    <row r="17" spans="1:13" ht="15.75" customHeight="1" x14ac:dyDescent="0.15">
      <c r="A17" s="1">
        <v>32031</v>
      </c>
      <c r="B17" s="1" t="s">
        <v>32</v>
      </c>
      <c r="C17" s="1">
        <v>486674</v>
      </c>
      <c r="D17" s="1">
        <v>38.6</v>
      </c>
      <c r="E17" s="1">
        <v>247473</v>
      </c>
      <c r="F17" s="1">
        <v>239201</v>
      </c>
      <c r="G17" s="1">
        <v>26126</v>
      </c>
      <c r="H17" s="1">
        <v>12133</v>
      </c>
      <c r="I17" s="1">
        <v>486674</v>
      </c>
      <c r="J17" s="1">
        <v>6355</v>
      </c>
      <c r="K17" s="1">
        <v>52118</v>
      </c>
      <c r="L17" s="1">
        <v>330713</v>
      </c>
      <c r="M17" s="1">
        <v>55685</v>
      </c>
    </row>
    <row r="18" spans="1:13" ht="15.75" customHeight="1" x14ac:dyDescent="0.15">
      <c r="A18" s="1">
        <v>32033</v>
      </c>
      <c r="B18" s="1" t="s">
        <v>33</v>
      </c>
      <c r="C18" s="1">
        <v>8997</v>
      </c>
      <c r="D18" s="1">
        <v>41.4</v>
      </c>
      <c r="E18" s="1">
        <v>5195</v>
      </c>
      <c r="F18" s="1">
        <v>3802</v>
      </c>
      <c r="G18" s="1">
        <v>63</v>
      </c>
      <c r="H18" s="1">
        <v>659</v>
      </c>
      <c r="I18" s="1">
        <v>8997</v>
      </c>
      <c r="J18" s="1">
        <v>486</v>
      </c>
      <c r="K18" s="1">
        <v>137</v>
      </c>
      <c r="L18" s="1">
        <v>7161</v>
      </c>
      <c r="M18" s="1">
        <v>491</v>
      </c>
    </row>
    <row r="19" spans="1:13" ht="15.75" customHeight="1" x14ac:dyDescent="0.15">
      <c r="A19" s="1">
        <v>32510</v>
      </c>
      <c r="B19" s="1" t="s">
        <v>34</v>
      </c>
      <c r="C19" s="1">
        <v>58249</v>
      </c>
      <c r="D19" s="1">
        <v>42.1</v>
      </c>
      <c r="E19" s="1">
        <v>30199</v>
      </c>
      <c r="F19" s="1">
        <v>28050</v>
      </c>
      <c r="G19" s="1">
        <v>1556</v>
      </c>
      <c r="H19" s="1">
        <v>1243</v>
      </c>
      <c r="I19" s="1">
        <v>58249</v>
      </c>
      <c r="J19" s="1">
        <v>1197</v>
      </c>
      <c r="K19" s="1">
        <v>4710</v>
      </c>
      <c r="L19" s="1">
        <v>43436</v>
      </c>
      <c r="M19" s="1">
        <v>6093</v>
      </c>
    </row>
  </sheetData>
  <hyperlinks>
    <hyperlink ref="N2" r:id="rId1" xr:uid="{00000000-0004-0000-0400-000000000000}"/>
  </hyperlinks>
  <pageMargins left="0.7" right="0.7" top="0.75" bottom="0.75" header="0.3" footer="0.3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2.6640625" defaultRowHeight="15.75" customHeight="1" x14ac:dyDescent="0.15"/>
  <cols>
    <col min="1" max="1" width="11.6640625" customWidth="1"/>
    <col min="2" max="2" width="23.1640625" customWidth="1"/>
    <col min="8" max="27" width="16.5" customWidth="1"/>
  </cols>
  <sheetData>
    <row r="1" spans="1:27" ht="15.75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15">
      <c r="A2" s="1" t="s">
        <v>4</v>
      </c>
      <c r="B2" s="1" t="s">
        <v>5</v>
      </c>
      <c r="C2" s="1" t="s">
        <v>47</v>
      </c>
      <c r="D2" s="1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55</v>
      </c>
      <c r="L2" s="3" t="s">
        <v>56</v>
      </c>
      <c r="M2" s="3" t="s">
        <v>57</v>
      </c>
      <c r="N2" s="4" t="s">
        <v>61</v>
      </c>
    </row>
    <row r="3" spans="1:27" ht="15.75" customHeight="1" x14ac:dyDescent="0.15">
      <c r="A3" s="1">
        <v>32003</v>
      </c>
      <c r="B3" s="1" t="s">
        <v>19</v>
      </c>
      <c r="C3" s="1">
        <v>2322985</v>
      </c>
      <c r="D3" s="1">
        <v>38.299999999999997</v>
      </c>
      <c r="E3" s="1">
        <v>1164576</v>
      </c>
      <c r="F3" s="1">
        <v>1158409</v>
      </c>
      <c r="G3" s="1">
        <v>256740</v>
      </c>
      <c r="H3" s="1">
        <v>281099</v>
      </c>
      <c r="I3" s="1">
        <v>2322985</v>
      </c>
      <c r="J3" s="1">
        <v>29494</v>
      </c>
      <c r="K3" s="1">
        <v>312951</v>
      </c>
      <c r="L3" s="1">
        <v>990484</v>
      </c>
      <c r="M3" s="1">
        <v>434748</v>
      </c>
    </row>
    <row r="4" spans="1:27" ht="15.75" customHeight="1" x14ac:dyDescent="0.15">
      <c r="A4" s="1">
        <v>32031</v>
      </c>
      <c r="B4" s="1" t="s">
        <v>32</v>
      </c>
      <c r="C4" s="1">
        <v>496745</v>
      </c>
      <c r="D4" s="1">
        <v>39.200000000000003</v>
      </c>
      <c r="E4" s="1">
        <v>253412</v>
      </c>
      <c r="F4" s="1">
        <v>243333</v>
      </c>
      <c r="G4" s="1">
        <v>26607</v>
      </c>
      <c r="H4" s="1">
        <v>11410</v>
      </c>
      <c r="I4" s="1">
        <v>496745</v>
      </c>
      <c r="J4" s="1">
        <v>7285</v>
      </c>
      <c r="K4" s="1">
        <v>55591</v>
      </c>
      <c r="L4" s="1">
        <v>312337</v>
      </c>
      <c r="M4" s="1">
        <v>80086</v>
      </c>
    </row>
    <row r="5" spans="1:27" ht="15.75" customHeight="1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27" ht="15.75" customHeigh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27" ht="15.75" customHeight="1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27" ht="15.75" customHeight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27" ht="15.7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27" ht="15.7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27" ht="15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27" ht="15.7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27" ht="15.7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27" ht="15.7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27" ht="15.7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27" ht="15.7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</sheetData>
  <hyperlinks>
    <hyperlink ref="N2" r:id="rId1" xr:uid="{00000000-0004-0000-0500-000000000000}"/>
  </hyperlinks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PopG_Dec_2010vs.2020</vt:lpstr>
      <vt:lpstr>2010</vt:lpstr>
      <vt:lpstr>Fpop_Dec_2010vs2020</vt:lpstr>
      <vt:lpstr>2020</vt:lpstr>
      <vt:lpstr>Sheet2</vt:lpstr>
      <vt:lpstr>2017</vt:lpstr>
      <vt:lpstr>Sheet3</vt:lpstr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Khan</cp:lastModifiedBy>
  <dcterms:modified xsi:type="dcterms:W3CDTF">2025-12-12T18:19:06Z</dcterms:modified>
</cp:coreProperties>
</file>